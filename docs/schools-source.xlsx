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データ" sheetId="1" state="visible" r:id="rId1"/>
    <sheet xmlns:r="http://schemas.openxmlformats.org/officeDocument/2006/relationships" name="入力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26" customWidth="1" min="5" max="5"/>
    <col width="8" customWidth="1" min="6" max="6"/>
    <col width="14" customWidth="1" min="7" max="7"/>
    <col width="14" customWidth="1" min="8" max="8"/>
    <col width="12" customWidth="1" min="9" max="9"/>
    <col width="16" customWidth="1" min="10" max="10"/>
    <col width="14" customWidth="1" min="11" max="11"/>
    <col width="16" customWidth="1" min="12" max="12"/>
    <col width="26" customWidth="1" min="13" max="13"/>
    <col width="12" customWidth="1" min="14" max="14"/>
    <col width="12" customWidth="1" min="15" max="15"/>
    <col width="20" customWidth="1" min="16" max="16"/>
    <col width="30" customWidth="1" min="17" max="17"/>
    <col width="16" customWidth="1" min="18" max="18"/>
    <col width="24" customWidth="1" min="19" max="19"/>
    <col width="18" customWidth="1" min="20" max="20"/>
    <col width="26" customWidth="1" min="21" max="21"/>
    <col width="22" customWidth="1" min="22" max="22"/>
    <col width="22" customWidth="1" min="23" max="23"/>
    <col width="16" customWidth="1" min="24" max="24"/>
    <col width="30" customWidth="1" min="25" max="25"/>
    <col width="30" customWidth="1" min="26" max="26"/>
    <col width="34" customWidth="1" min="27" max="27"/>
  </cols>
  <sheetData>
    <row r="1" ht="24" customHeight="1">
      <c r="A1" s="1" t="inlineStr">
        <is>
          <t>語学学校データ  記入シート</t>
        </is>
      </c>
    </row>
    <row r="2" ht="42" customHeight="1">
      <c r="A2" s="2" t="inlineStr">
        <is>
          <t>凡例: 公式サイト記載のみ記入／未記載は「要確認」。複数値はセミコロン ; 区切り。エージェント発の値は末尾に(非公式)と明記。金額は現地通貨(F列)基準。黄=入力例／橙=要確認セル。place_id・評価・口コミ・写真は取得しない。</t>
        </is>
      </c>
    </row>
    <row r="3" ht="30" customHeight="1">
      <c r="A3" s="3" t="inlineStr">
        <is>
          <t>学校名(英語)</t>
        </is>
      </c>
      <c r="B3" s="3" t="inlineStr">
        <is>
          <t>学校名(日本語)</t>
        </is>
      </c>
      <c r="C3" s="3" t="inlineStr">
        <is>
          <t>国</t>
        </is>
      </c>
      <c r="D3" s="3" t="inlineStr">
        <is>
          <t>都市</t>
        </is>
      </c>
      <c r="E3" s="3" t="inlineStr">
        <is>
          <t>住所</t>
        </is>
      </c>
      <c r="F3" s="3" t="inlineStr">
        <is>
          <t>通貨</t>
        </is>
      </c>
      <c r="G3" s="3" t="inlineStr">
        <is>
          <t>週授業料・最低</t>
        </is>
      </c>
      <c r="H3" s="3" t="inlineStr">
        <is>
          <t>週授業料・最高</t>
        </is>
      </c>
      <c r="I3" s="3" t="inlineStr">
        <is>
          <t>入学金</t>
        </is>
      </c>
      <c r="J3" s="3" t="inlineStr">
        <is>
          <t>教材費</t>
        </is>
      </c>
      <c r="K3" s="3" t="inlineStr">
        <is>
          <t>日本人比率</t>
        </is>
      </c>
      <c r="L3" s="3" t="inlineStr">
        <is>
          <t>生徒総数</t>
        </is>
      </c>
      <c r="M3" s="3" t="inlineStr">
        <is>
          <t>国籍多様性</t>
        </is>
      </c>
      <c r="N3" s="3" t="inlineStr">
        <is>
          <t>年齢層</t>
        </is>
      </c>
      <c r="O3" s="3" t="inlineStr">
        <is>
          <t>クラス人数</t>
        </is>
      </c>
      <c r="P3" s="3" t="inlineStr">
        <is>
          <t>コース種別タグ</t>
        </is>
      </c>
      <c r="Q3" s="3" t="inlineStr">
        <is>
          <t>コース名</t>
        </is>
      </c>
      <c r="R3" s="3" t="inlineStr">
        <is>
          <t>入学時期タイプ</t>
        </is>
      </c>
      <c r="S3" s="3" t="inlineStr">
        <is>
          <t>開講日・条件</t>
        </is>
      </c>
      <c r="T3" s="3" t="inlineStr">
        <is>
          <t>対応レベル</t>
        </is>
      </c>
      <c r="U3" s="3" t="inlineStr">
        <is>
          <t>滞在オプション</t>
        </is>
      </c>
      <c r="V3" s="3" t="inlineStr">
        <is>
          <t>認定</t>
        </is>
      </c>
      <c r="W3" s="3" t="inlineStr">
        <is>
          <t>進学パスウェイ有無</t>
        </is>
      </c>
      <c r="X3" s="3" t="inlineStr">
        <is>
          <t>返金規定</t>
        </is>
      </c>
      <c r="Y3" s="3" t="inlineStr">
        <is>
          <t>特徴タグ</t>
        </is>
      </c>
      <c r="Z3" s="3" t="inlineStr">
        <is>
          <t>出所URL</t>
        </is>
      </c>
      <c r="AA3" s="3" t="inlineStr">
        <is>
          <t>備考</t>
        </is>
      </c>
    </row>
    <row r="4" ht="40" customHeight="1">
      <c r="A4" s="4" t="inlineStr">
        <is>
          <t>Example English College</t>
        </is>
      </c>
      <c r="B4" s="4" t="inlineStr">
        <is>
          <t>エグザンプル英語学校</t>
        </is>
      </c>
      <c r="C4" s="4" t="inlineStr">
        <is>
          <t>オーストラリア</t>
        </is>
      </c>
      <c r="D4" s="4" t="inlineStr">
        <is>
          <t>シドニー</t>
        </is>
      </c>
      <c r="E4" s="4" t="inlineStr">
        <is>
          <t>123 Example St, Sydney NSW 2000</t>
        </is>
      </c>
      <c r="F4" s="4" t="inlineStr">
        <is>
          <t>AUD</t>
        </is>
      </c>
      <c r="G4" s="4" t="n">
        <v>380</v>
      </c>
      <c r="H4" s="4" t="n">
        <v>460</v>
      </c>
      <c r="I4" s="4" t="n">
        <v>250</v>
      </c>
      <c r="J4" s="4" t="inlineStr">
        <is>
          <t>60(1-4週)/15/週(上限450)</t>
        </is>
      </c>
      <c r="K4" s="4" t="inlineStr">
        <is>
          <t>約15%(非公式)</t>
        </is>
      </c>
      <c r="L4" s="4" t="inlineStr">
        <is>
          <t>定員500／月平均800(非公式)</t>
        </is>
      </c>
      <c r="M4" s="4" t="inlineStr">
        <is>
          <t>ブラジル;韓国;コロンビア;日本</t>
        </is>
      </c>
      <c r="N4" s="4" t="inlineStr">
        <is>
          <t>16歳以上/平均23歳</t>
        </is>
      </c>
      <c r="O4" s="4" t="inlineStr">
        <is>
          <t>平均14／最大18</t>
        </is>
      </c>
      <c r="P4" s="4" t="inlineStr">
        <is>
          <t>一般英語;試験対策;ビジネス;進学準備</t>
        </is>
      </c>
      <c r="Q4" s="4" t="inlineStr">
        <is>
          <t>General English;IELTS;Cambridge</t>
        </is>
      </c>
      <c r="R4" s="4" t="inlineStr">
        <is>
          <t>毎週入学可</t>
        </is>
      </c>
      <c r="S4" s="4" t="inlineStr">
        <is>
          <t>毎週月曜(セッション最終週除く)</t>
        </is>
      </c>
      <c r="T4" s="4" t="inlineStr">
        <is>
          <t>初級〜上級/入学基準なし</t>
        </is>
      </c>
      <c r="U4" s="4" t="inlineStr">
        <is>
          <t>ホームステイ;学生寮;手配なし</t>
        </is>
      </c>
      <c r="V4" s="4" t="inlineStr">
        <is>
          <t>CRICOS 00000A;NEAS;English Australia</t>
        </is>
      </c>
      <c r="W4" s="4" t="inlineStr">
        <is>
          <t>あり</t>
        </is>
      </c>
      <c r="X4" s="5" t="inlineStr">
        <is>
          <t>登録料は返金不可(全体規定は要確認)</t>
        </is>
      </c>
      <c r="Y4" s="4" t="inlineStr">
        <is>
          <t>CBD立地;無料Job Club;バリスタ講座</t>
        </is>
      </c>
      <c r="Z4" s="4" t="inlineStr">
        <is>
          <t>https://example.com</t>
        </is>
      </c>
      <c r="AA4" s="4" t="inlineStr">
        <is>
          <t>これは記入例の行です（削除可）</t>
        </is>
      </c>
    </row>
    <row r="5" ht="88" customHeight="1">
      <c r="A5" s="6" t="inlineStr">
        <is>
          <t>English Unlimited (EU)</t>
        </is>
      </c>
      <c r="B5" s="6" t="inlineStr">
        <is>
          <t>イングリッシュ・アンリミテッド</t>
        </is>
      </c>
      <c r="C5" s="6" t="inlineStr">
        <is>
          <t>オーストラリア</t>
        </is>
      </c>
      <c r="D5" s="6" t="inlineStr">
        <is>
          <t>シドニー</t>
        </is>
      </c>
      <c r="E5" s="6" t="inlineStr">
        <is>
          <t>Level 3, 123 Clarence Street, Sydney NSW 2000（EUシドニー校）</t>
        </is>
      </c>
      <c r="F5" s="6" t="inlineStr">
        <is>
          <t>AUD</t>
        </is>
      </c>
      <c r="G5" s="12" t="inlineStr">
        <is>
          <t>290(CRICOS公式登録から算出:一般英語77週$22,330・EAP 30週$8,700=いずれも週$290。長期割引適用時の最低水準)</t>
        </is>
      </c>
      <c r="H5" s="12" t="inlineStr">
        <is>
          <t>345(CRICOS公式登録から算出:一般英語52週$17,940・IELTS/観光英語12週$4,140=週$345。※旧課程017829DのEAP20週$10,800は週$540)</t>
        </is>
      </c>
      <c r="I5" s="13" t="inlineStr">
        <is>
          <t>要確認(内訳不明。CRICOS公式登録のNon-Tuition Fee=$800は入学金+教材等の合算で、課程により$0のものもあり単独額は不明)</t>
        </is>
      </c>
      <c r="J5" s="13" t="inlineStr">
        <is>
          <t>要確認(単独額不明。上記CRICOS登録Non-Tuition Fee $800に教材費を含むが内訳非公開)</t>
        </is>
      </c>
      <c r="K5" s="6" t="inlineStr">
        <is>
          <t>約7%(非公式;複数エージェント一致)</t>
        </is>
      </c>
      <c r="L5" s="13" t="inlineStr">
        <is>
          <t>要確認(公式に在籍総数の記載なし。※CRICOS登録の全拠点合計収容定員は14,401だがAPC含む全体の上限定員で実在籍数ではない)</t>
        </is>
      </c>
      <c r="M5" s="6" t="inlineStr">
        <is>
          <t>31カ国;TOP5=イタリア;ブラジル;タイ;韓国;コロンビア(日本はTOP5外)</t>
        </is>
      </c>
      <c r="N5" s="6" t="inlineStr">
        <is>
          <t>平均24〜32歳</t>
        </is>
      </c>
      <c r="O5" s="6" t="inlineStr">
        <is>
          <t>13(非公式;クラスに教師2名の記載も)</t>
        </is>
      </c>
      <c r="P5" s="6" t="inlineStr">
        <is>
          <t>一般英語;試験対策;進学準備;ビジネス</t>
        </is>
      </c>
      <c r="Q5" s="12" t="inlineStr">
        <is>
          <t>General English(Everyday English;CRICOS 0100896/017830M);Cambridge B2 First(0100894);Cambridge C1 Advanced(0100893);IELTS Preparation(0100895/057277M);English for Academic Purposes(EAP;075995J/017829D);English for Tourism and Hospitality(065221E)</t>
        </is>
      </c>
      <c r="R5" s="6" t="inlineStr">
        <is>
          <t>固定開講日(コース別に毎週月曜も)</t>
        </is>
      </c>
      <c r="S5" s="6" t="inlineStr">
        <is>
          <t>GE/IELTS=毎週月曜;Cambridge=月曜+固定;EAP=固定。週20時間(ワークショップ必修)</t>
        </is>
      </c>
      <c r="T5" s="12" t="inlineStr">
        <is>
          <t>GE=入学基準なし(Open to all;Beginner〜Advanced);IELTS/B2/EAP=中級修了(Intermediate〜Advanced);C1=B2修了;English for Tourism &amp; Hospitality=Upper Intermediate〜Advanced(CRICOS登録)</t>
        </is>
      </c>
      <c r="U5" s="6" t="inlineStr">
        <is>
          <t>ホームステイ(最低4週);学生寮/シェア手配(Iglu;2stay;StudentOne等);学校直営寮なし</t>
        </is>
      </c>
      <c r="V5" s="12" t="inlineStr">
        <is>
          <t>CRICOS 01331F(運営 Young Rabbit Pty Ltd;ABN 28 003 381 182;Sydney/Melbourne);03296K(Brisbane);NEAS認定;English Australia正会員</t>
        </is>
      </c>
      <c r="W5" s="6" t="inlineStr">
        <is>
          <t>あり(University Pathway;修了後40%がVET・10%が大学へ進学)</t>
        </is>
      </c>
      <c r="X5" s="5" t="inlineStr">
        <is>
          <t>要確認</t>
        </is>
      </c>
      <c r="Y5" s="6" t="inlineStr">
        <is>
          <t>NEAS認定;複数受賞;Everyday English独自教授法;金曜Plus classes無料;92%が推奨;5都市展開</t>
        </is>
      </c>
      <c r="Z5" s="12" t="inlineStr">
        <is>
          <t>https://www.apc.edu.au/study/about-english-unlimited/ ; https://www.apc.edu.au/courses/english-language/ ; CRICOS公式登録 cricos.education.gov.au(Young Rabbit Pty Ltd 01331F・課程スクショ)</t>
        </is>
      </c>
      <c r="AA5" s="12" t="inlineStr">
        <is>
          <t>語学部門はEU(運営: Young Rabbit Pty Ltd 他)。週授業料の最低・入学金・教材費・返金規定・日本人比率はサイト非掲載でエージェント確認要。都市は代表としてシドニー(EU実施はSydney/Melbourne/Brisbane)。 【追記】週授業料・課程コード・レベルはCRICOS公式登録(cricos.education.gov.au;運営法人Young Rabbit Pty Ltd 01331F=English Unlimited/APC共通)より補完:一般英語 週$290(77週)〜$345(52週)、IELTS/Cambridge $300/週、EAP $290/週、観光英語$345/週。CRICOS登録のNon-Tuition Fee($800または$0)は入学金+教材の合算で内訳不明のため入学金・教材費は要確認のまま。CRICOS登録額は公式だが、エージェント提示の割引/現行プロモ価格とは異なる場合あり。全拠点合計収容定員14,401はAPC含む上限定員で実在籍数ではない。</t>
        </is>
      </c>
    </row>
    <row r="6" ht="88" customHeight="1">
      <c r="A6" s="6" t="inlineStr">
        <is>
          <t>ILSC Language Schools Sydney</t>
        </is>
      </c>
      <c r="B6" s="6" t="inlineStr">
        <is>
          <t>ILSC シドニー校</t>
        </is>
      </c>
      <c r="C6" s="6" t="inlineStr">
        <is>
          <t>オーストラリア</t>
        </is>
      </c>
      <c r="D6" s="6" t="inlineStr">
        <is>
          <t>シドニー</t>
        </is>
      </c>
      <c r="E6" s="6" t="inlineStr">
        <is>
          <t>Level 6 &amp; 7, 540 George Street, Sydney NSW 2000（Tel +61-2-9247-1744）</t>
        </is>
      </c>
      <c r="F6" s="6" t="inlineStr">
        <is>
          <t>AUD</t>
        </is>
      </c>
      <c r="G6" s="6" t="n">
        <v>380</v>
      </c>
      <c r="H6" s="6" t="n">
        <v>460</v>
      </c>
      <c r="I6" s="6" t="n">
        <v>250</v>
      </c>
      <c r="J6" s="6" t="inlineStr">
        <is>
          <t>60(1-4週)/15/週(5週〜;上限450);Cambridge教材費は別途220</t>
        </is>
      </c>
      <c r="K6" s="6" t="inlineStr">
        <is>
          <t>約14〜15%(非公式;2025年前後の複数ソース一致。2023年は20%との旧値も)</t>
        </is>
      </c>
      <c r="L6" s="6" t="inlineStr">
        <is>
          <t>公式定員576名／月平均約945〜1000人(非公式)。年間平均430名との集計も(定義差あり)</t>
        </is>
      </c>
      <c r="M6" s="6" t="inlineStr">
        <is>
          <t>ブラジル約23〜29%;韓国約21〜22%;コロンビア約11〜14%;日本約13〜15%;メキシコ;フランス;イタリア;タイ;台湾;ドイツ 等</t>
        </is>
      </c>
      <c r="N6" s="6" t="inlineStr">
        <is>
          <t>16歳以上/平均23歳</t>
        </is>
      </c>
      <c r="O6" s="6" t="inlineStr">
        <is>
          <t>平均14／最大18</t>
        </is>
      </c>
      <c r="P6" s="6" t="inlineStr">
        <is>
          <t>一般英語;試験対策;ビジネス;進学準備</t>
        </is>
      </c>
      <c r="Q6" s="6" t="inlineStr">
        <is>
          <t>General English(CRICOS 0101688);University Pathway;Creative &amp; Cultural English;Business English;EAP(0101685);Medical English;IELTS Mastery(0101686);Cambridge Mastery(0101687);Café Work Skills;Tutoring</t>
        </is>
      </c>
      <c r="R6" s="6" t="inlineStr">
        <is>
          <t>毎週月曜入学可(セッション最終週除く)</t>
        </is>
      </c>
      <c r="S6" s="6" t="inlineStr">
        <is>
          <t>Morning 8:30-13:00／Afternoon 13:15-17:15／Evening 17:30-21:30(Mon-Fri)。週20時間(24レッスン)。4週ごとにCore+Elective選択</t>
        </is>
      </c>
      <c r="T6" s="6" t="inlineStr">
        <is>
          <t>初級〜上級(入学基準なし;10段階レベル)。開始約2週間前にレベルテスト</t>
        </is>
      </c>
      <c r="U6" s="6" t="inlineStr">
        <is>
          <t>ホームステイ(ハーフボード 18歳以上415/週;18歳未満440/週);学生レジデンス(Scape Sydney Central;Iglu Chatswood);手配料370;空港送迎片道200</t>
        </is>
      </c>
      <c r="V6" s="6" t="inlineStr">
        <is>
          <t>CRICOS 02137M;RTO 31564(ILSC (Brisbane) Pty Ltd);NEAS認定;English Australia会員</t>
        </is>
      </c>
      <c r="W6" s="6" t="inlineStr">
        <is>
          <t>あり(University Pathway;160校以上の大学/カレッジ/TAFE提携;TOEFL/IELTS不要で条件付入学;累計6000名超進学)</t>
        </is>
      </c>
      <c r="X6" s="5" t="inlineStr">
        <is>
          <t>登録料250は返金不可(全体の返金規定は要確認)</t>
        </is>
      </c>
      <c r="Y6" s="6" t="inlineStr">
        <is>
          <t>CBD立地(Town Hall駅至近);学生ビザで2週48時間まで就労可;無料Job Club;Café Work Skills(バリスタ);32教室;2010年開校;姉妹校Greystone College;転校は1校最低3セッション</t>
        </is>
      </c>
      <c r="Z6" s="6" t="inlineStr">
        <is>
          <t>https://www.ilsc.com/ja/language-schools/destinations/australia/city/sydney ; https://www.ilsc.com/ja/language-schools/price-list/sydney ; CRICOS公式登録 cricos.education.gov.au(ILSC (Brisbane) Pty Ltd／General English 0101688・Cambridge Mastery 0101687・IELTS Mastery 0101686・課程スクショ)</t>
        </is>
      </c>
      <c r="AA6" s="6" t="inlineStr">
        <is>
          <t>運営法人 ILSC (Brisbane) Pty Ltd。授業料は2026年適用・AUD・変更あり。生徒総数は定義差でソース間不一致(定員576／月平均945-1000)。日本人比率・国籍はエージェント複数一致値。 【追記(CRICOS公式登録)】ILSC豪州は全校を1法人(ILSC (Brisbane) Pty Ltd)で運営し、語学は4コード(0101685 EAP／0101686 IELTS Mastery／0101687 Cambridge Mastery／0101688 General English)がSydney含む豪州5校(Sydney/Melbourne/Brisbane/Perth/Adelaide)共通。CRICOS登録の代表(最長)期間・総額は、General English 81週$31,200(Non-Tuition Fee$550・週約$385)／Cambridge Mastery 37週$14,040(Non-Tuition$550・週約$379)／IELTS Mastery 25週$9,360(Non-Tuition$0・週約$374)。週授業料はTuition÷週数の単純計算による名目登録額(割引前)で、既存G列$380/H列$460(ILSC全国price list基準)は基準が異なるため据置。Non-Tuition Feeは入学金+教材費等の合算で内訳非公開のため、入学金$250・教材費は別掲(単独額は要確認)。</t>
        </is>
      </c>
    </row>
    <row r="7" ht="88" customHeight="1">
      <c r="A7" s="12" t="inlineStr">
        <is>
          <t>Lexis English – Perth City（T/A Lexis Perth；運営: Sunset Coast International English School Pty Ltd）</t>
        </is>
      </c>
      <c r="B7" s="12" t="inlineStr">
        <is>
          <t>レクシス・イングリッシュ パース・シティ校(非公式;成功する留学)</t>
        </is>
      </c>
      <c r="C7" s="12" t="inlineStr">
        <is>
          <t>オーストラリア</t>
        </is>
      </c>
      <c r="D7" s="12" t="inlineStr">
        <is>
          <t>パース(西オーストラリア州)</t>
        </is>
      </c>
      <c r="E7" s="12" t="inlineStr">
        <is>
          <t>Ground Floor, 197 St Georges Terrace, Perth WA 6000</t>
        </is>
      </c>
      <c r="F7" s="12" t="inlineStr">
        <is>
          <t>AUD</t>
        </is>
      </c>
      <c r="G7" s="12" t="n">
        <v>450</v>
      </c>
      <c r="H7" s="12" t="n">
        <v>550</v>
      </c>
      <c r="I7" s="12" t="n">
        <v>265</v>
      </c>
      <c r="J7" s="12" t="inlineStr">
        <is>
          <t>195(1-8週)/285(9-17週)/335(18-24週)/385(25週〜);ケンブリッジ一律325</t>
        </is>
      </c>
      <c r="K7" s="12" t="inlineStr">
        <is>
          <t>約13%(非公式;タビケン留学)/時期により変動との記載(非公式;成功する留学)。公式サイトに数値記載なし(要確認)</t>
        </is>
      </c>
      <c r="L7" s="12" t="inlineStr">
        <is>
          <t>280(公式・校ページ)。エージェントは約300〜350(非公式)で差異</t>
        </is>
      </c>
      <c r="M7" s="12" t="inlineStr">
        <is>
          <t>グループ全体85カ国以上(公式)。Perth校トップ5はグラフ画像で数値判読不可(要確認)。国籍例(非公式):コロンビア;ブラジル;トルコ;タイ;アルゼンチン;韓国;チリ;エクアドル;イタリア;モンゴル(日本含む)</t>
        </is>
      </c>
      <c r="N7" s="12" t="inlineStr">
        <is>
          <t>16歳以上/平均25歳(非公式;成功する留学)。公式に明記なし(要確認)</t>
        </is>
      </c>
      <c r="O7" s="12" t="inlineStr">
        <is>
          <t>平均12(公式)/最大18(非公式)</t>
        </is>
      </c>
      <c r="P7" s="12" t="inlineStr">
        <is>
          <t>一般英語;試験対策;進学準備</t>
        </is>
      </c>
      <c r="Q7" s="12" t="inlineStr">
        <is>
          <t>General English(フルタイム/パートタイム/午後/夜間);IELTS Preparation(+IELTS Accelerate);English for Academic Purposes(EAP);Cambridge PET;Cambridge FCE;Cambridge CAE;Private Tuition;English + Demi-Pair</t>
        </is>
      </c>
      <c r="R7" s="12" t="inlineStr">
        <is>
          <t>毎週入学可(一般英語/IELTS/EAP/Private);固定開講日(ケンブリッジ)</t>
        </is>
      </c>
      <c r="S7" s="12" t="inlineStr">
        <is>
          <t>一般英語・IELTS・Private=毎週月曜開始;FT週20+5h・PT週15h(一般英語のみ・学生ビザ不可);ケンブリッジ(PET/FCE/CAE)=2026年固定開始日(例:FCE 2025/12/29(11週)・2026/3/23(12週)・2026/9/7(12週);PET 2025/12/29(10週)・2026/3/23(10週)・2026/9/7(11週));夜間クラスはSydney-Manlyとパースのみ</t>
        </is>
      </c>
      <c r="T7" s="12" t="inlineStr">
        <is>
          <t>一般英語=初級〜上級(Beginner–Advanced;公式パンフ);IELTS=中級修了以上;EAP=IELTS5.0以上(非公式);ケンブリッジは各級レベル</t>
        </is>
      </c>
      <c r="U7" s="12" t="inlineStr">
        <is>
          <t>学生ハウス(寮);ホームステイ;デミペア(「手配なし/自己手配」の明記なし)。寮例:Regal House(Single495/Triple315)・Juno House(Urban Twin486/Studio Luxe880等);ホームステイSingle395/週〜</t>
        </is>
      </c>
      <c r="V7" s="12" t="inlineStr">
        <is>
          <t>CRICOS 03274E;English Australia会員;Cambridge English公認試験センター;Bildungsurlaub認定。NEASの記載は確認できず(要確認)</t>
        </is>
      </c>
      <c r="W7" s="12" t="inlineStr">
        <is>
          <t>あり(Lexis English Pathways;提携大学へ直接入学:Torrens;Griffith;UniSC;ECU;Southern Cross;Wollongong;Canberra等;Lexis Training University Pathways;EAP修了でIELTS6.0/6.5相当の提携校直接入学)</t>
        </is>
      </c>
      <c r="X7" s="13" t="inlineStr">
        <is>
          <t>入学金は返金不可・譲渡不可;開始28日以上前の取消は入学金を除き全額返金;28日未満前は授業料の20%をキャンセル料として追加控除;CoE発行後は通知時期を問わず授業料の10%控除;ビザ不許可は入学金を除き4週間以内に返金;開始日以降は授業料返金なし</t>
        </is>
      </c>
      <c r="Y7" s="12" t="inlineStr">
        <is>
          <t>2023年開校の新キャンパス;St Georges Terrace立地(無料ループバス至近);教室18室・全室プロジェクター/電子黒板;1クラス平均12名;Lexis 360°サポート;無料Lexis Job Workshop;Cambridge公認試験センター;夜間クラスあり;学生運営の校内カフェ・バリスタ体験(非公式);7校舎間の無料転校※2回目以降200(非公式)</t>
        </is>
      </c>
      <c r="Z7" s="12" t="inlineStr">
        <is>
          <t>https://lexisenglish.com/ ; https://lexisenglish.com/location/perth/ ; https://perthcity.lexisenglish.com/ ; https://enrol.lexisenglish.com/fees/ ; アップロード公式パンフ(Lexis English Australia 2026) ; https://www.studyabroad.co.jp/australia/school/lexis-perth-city (非公式) ; https://tabiken-ryugaku.co.jp/au/school/lexis-perth-city/ (非公式)</t>
        </is>
      </c>
      <c r="AA7" s="12" t="inlineStr">
        <is>
          <t>Lexisはパースに2校(本行はPerth City;別途Perth Scarborough校あり)。生徒数は公式280/エージェント300–350で差異。Cambridge CPEは公式Perth校一覧に掲載も料金表の2026年パース開講日は「—」(現行開講は要確認)。CELTAはタビケンのみ掲載で料金表に無し(非公式/要確認)。「ビジネス英語」は一般英語のオプションクラスで単独コースではない。日本人比率・年齢層・NEAS認定は公式非掲載で要確認。授業料は2026年・AUD・カード2%手数料あり。パートタイム週授業料$485(1–4週)/$455(5–12週);ケンブリッジはパッケージ$5,250(10週)/$5,775(11週)/$6,300(12週)。</t>
        </is>
      </c>
    </row>
    <row r="8" ht="130" customHeight="1">
      <c r="A8" s="6" t="inlineStr">
        <is>
          <t>Lexis English Sydney (Manly)</t>
        </is>
      </c>
      <c r="B8" s="6" t="inlineStr">
        <is>
          <t>レクシス・イングリッシュ シドニー(マンリー)校</t>
        </is>
      </c>
      <c r="C8" s="6" t="inlineStr">
        <is>
          <t>オーストラリア</t>
        </is>
      </c>
      <c r="D8" s="6" t="inlineStr">
        <is>
          <t>シドニー(マンリー)</t>
        </is>
      </c>
      <c r="E8" s="6" t="inlineStr">
        <is>
          <t>30-32 S Steyne, Manly NSW 2095（Manlyフェリー乗り場から徒歩約7分・ビーチ正面）</t>
        </is>
      </c>
      <c r="F8" s="6" t="inlineStr">
        <is>
          <t>AUD</t>
        </is>
      </c>
      <c r="G8" s="6" t="n">
        <v>450</v>
      </c>
      <c r="H8" s="6" t="n">
        <v>550</v>
      </c>
      <c r="I8" s="6" t="n">
        <v>265</v>
      </c>
      <c r="J8" s="6" t="inlineStr">
        <is>
          <t>195(1-8週)/285(9-17週)/335(18-24週)/385(25週〜);Cambridgeは一律325</t>
        </is>
      </c>
      <c r="K8" s="6" t="inlineStr">
        <is>
          <t>約9%(非公式;2023/1時点。パンフレットTop5で日本3位)</t>
        </is>
      </c>
      <c r="L8" s="6" t="inlineStr">
        <is>
          <t>290名(2026パンフレット)</t>
        </is>
      </c>
      <c r="M8" s="6" t="inlineStr">
        <is>
          <t>Top5:ブラジル;トルコ;日本;スイス;アルゼンチン(他:コロンビア;韓国;フランス;チリ 等)</t>
        </is>
      </c>
      <c r="N8" s="6" t="inlineStr">
        <is>
          <t>18歳以上(Juniorは12-17歳の別プログラム)</t>
        </is>
      </c>
      <c r="O8" s="6" t="inlineStr">
        <is>
          <t>平均12名(2026パンフレット)</t>
        </is>
      </c>
      <c r="P8" s="6" t="inlineStr">
        <is>
          <t>一般英語;試験対策;ビジネス;進学準備</t>
        </is>
      </c>
      <c r="Q8" s="6" t="inlineStr">
        <is>
          <t>General English(FT/PT);IELTS Preparation;Cambridge FCE/CAE/CPE;Focus Cambridge;Premium Small Group Training;Private Tuition;English in Action(Surfing);English+Demi-Pair;Junior(Teen Activity Program);Lexis Training VET(Diploma of Business等)</t>
        </is>
      </c>
      <c r="R8" s="6" t="inlineStr">
        <is>
          <t>毎週月曜入学可(Cambridge等は固定開講)</t>
        </is>
      </c>
      <c r="S8" s="6" t="inlineStr">
        <is>
          <t>GE/IELTS/Focus Cambridge/Surfing=毎週月曜。Premium Small Group/Barista=毎月第1月曜。Cambridge PET/FCE/CAE/CPE=固定開講(1・3・6・9月等)。FT週20+5時間。Morning 8:30-14:45/Evening 17:00-21:30(Sydney-Manly・Perthのみ)</t>
        </is>
      </c>
      <c r="T8" s="6" t="inlineStr">
        <is>
          <t>初級〜上級(Beginner-Advanced)。5段階レベル。初日にプレイスメントテスト</t>
        </is>
      </c>
      <c r="U8" s="6" t="inlineStr">
        <is>
          <t>ホームステイ(Single 415/週;Under18 425/週;Share 360/週;B&amp;B 345/週;手配料200);学生寮 Manly Guest House(620-950/週)・Manly Bunkhouse(Dorm 330-395/週等);空港送迎片道230</t>
        </is>
      </c>
      <c r="V8" s="6" t="inlineStr">
        <is>
          <t>CRICOS 02362B(Lexis Sydney Education Pty Ltd);English Australia会員;Cambridge公式試験会場;VETはLexis Training RTO 41178/CRICOS 03459G</t>
        </is>
      </c>
      <c r="W8" s="6" t="inlineStr">
        <is>
          <t>あり(Lexis English Pathways/Lexis Training経由でTAFE QLD・Griffith・Torrens・UniSC・ECU・Kaplan・Southern Cross・UoW・Canberra 等へ直接進学。IELTS/TOEFL不要)</t>
        </is>
      </c>
      <c r="X8" s="6" t="inlineStr">
        <is>
          <t>公式規定あり:入学金(Admission Fee)は返金不可。開始28日以上前の取消は入学金除き返金/28日未満は授業料20%取消料。ビザ不許可は入学金除き返金。CoE発行後は授業料10%取消料。開始日以降の授業料返金なし</t>
        </is>
      </c>
      <c r="Y8" s="6" t="inlineStr">
        <is>
          <t>ビーチ正面立地(Manly Beach目前);Cambridge2025年CPE合格率100%;学生ビザで2週48時間就労可;無料Job Workshop;サーフィン等アクティビティ;転校可(豪6都市+日本+韓国);Lexis360°個別サポート;2балコニー・自習室・図書室</t>
        </is>
      </c>
      <c r="Z8" s="6" t="inlineStr">
        <is>
          <t>https://lexisenglish.com/location/sydney/ ; https://enrol.lexisenglish.com/fees/ ; https://ryugaku-au.net/school/lexis-english-manly/</t>
        </is>
      </c>
      <c r="AA8" s="6" t="inlineStr">
        <is>
          <t>運営法人 Lexis Sydney Education Pty Ltd(登記住所 Level 22, 333 Ann St, Brisbane)。料金・入学金・教材費・返金規定・国籍構成まで公式で取得(4校中初)。日本人比率のみエージェント値(9%/2023)。生徒290名・平均12名は2026公式パンフレット値でryugaku-au(110名/9%/2023)より新しい。授業料はFT週20+5時間・全キャンパス共通。</t>
        </is>
      </c>
    </row>
    <row r="9" ht="150" customHeight="1">
      <c r="A9" s="12" t="inlineStr">
        <is>
          <t>ELSIS (English Language School in Sydney)</t>
        </is>
      </c>
      <c r="B9" s="12" t="inlineStr">
        <is>
          <t>ELSIS シドニー</t>
        </is>
      </c>
      <c r="C9" s="12" t="inlineStr">
        <is>
          <t>オーストラリア</t>
        </is>
      </c>
      <c r="D9" s="12" t="inlineStr">
        <is>
          <t>シドニー</t>
        </is>
      </c>
      <c r="E9" s="12" t="inlineStr">
        <is>
          <t>Level 10, 700 Harris Street, Ultimo NSW 2007（Darling Harbour近く）</t>
        </is>
      </c>
      <c r="F9" s="12" t="inlineStr">
        <is>
          <t>AUD</t>
        </is>
      </c>
      <c r="G9" s="13" t="inlineStr">
        <is>
          <t>要確認(公式は見積制・料金非掲載)</t>
        </is>
      </c>
      <c r="H9" s="13" t="inlineStr">
        <is>
          <t>要確認(同上)</t>
        </is>
      </c>
      <c r="I9" s="13" t="inlineStr">
        <is>
          <t>要確認(公式非掲載)</t>
        </is>
      </c>
      <c r="J9" s="13" t="inlineStr">
        <is>
          <t>要確認(公式非掲載)</t>
        </is>
      </c>
      <c r="K9" s="12" t="inlineStr">
        <is>
          <t>約6%(非公式;world-study/smaryu 2024前後)</t>
        </is>
      </c>
      <c r="L9" s="12" t="inlineStr">
        <is>
          <t>約300名(非公式;smaryu「中規模約300」/world-study329)。公式掲示「25,836 enrolled students」は全校累計値</t>
        </is>
      </c>
      <c r="M9" s="12" t="inlineStr">
        <is>
          <t>南米65%;欧州15%;アジア14%(非公式;smaryu)。主な国籍:ブラジル;コロンビア;アルゼンチン;スペイン;イタリア;フランス;韓国;タイ</t>
        </is>
      </c>
      <c r="N9" s="12" t="inlineStr">
        <is>
          <t>18歳以上(非公式)</t>
        </is>
      </c>
      <c r="O9" s="12" t="inlineStr">
        <is>
          <t>平均12〜15／最大18(非公式;world-study/smaryu)</t>
        </is>
      </c>
      <c r="P9" s="12" t="inlineStr">
        <is>
          <t>一般英語;試験対策;進学準備</t>
        </is>
      </c>
      <c r="Q9" s="12" t="inlineStr">
        <is>
          <t>General Intensive English(GIE);English for Academic Purposes(EAP);Study Pathways;English Workshops;Study Tour;Study Tour with Universities;IELTS対策(非公式);ケンブリッジ対策(非公式)</t>
        </is>
      </c>
      <c r="R9" s="12" t="inlineStr">
        <is>
          <t>毎週入学可(一般英語)/固定開講(EAP:5週ごと)</t>
        </is>
      </c>
      <c r="S9" s="12" t="inlineStr">
        <is>
          <t>一般英語=毎週月曜開講;EAP=5週ごと(Week1・6起点);Week10は試験週で開始不可;20時間/週;朝・夜開講</t>
        </is>
      </c>
      <c r="T9" s="12" t="inlineStr">
        <is>
          <t>一般英語=5レベル(Elementary〜Advanced);EAP=2レベル(Upper-intermediate・Advanced)</t>
        </is>
      </c>
      <c r="U9" s="12" t="inlineStr">
        <is>
          <t>ホームステイ;学生寮/レジデンス;シェア/ホステル/スタジオ(提携先CozzyStay・2stay経由)</t>
        </is>
      </c>
      <c r="V9" s="12" t="inlineStr">
        <is>
          <t>CRICOS 02644C;NEAS;English Australia</t>
        </is>
      </c>
      <c r="W9" s="12" t="inlineStr">
        <is>
          <t>あり(Direct Entry/Packaged Pathway;Victoria University;UTAS;USC;APIC 等)</t>
        </is>
      </c>
      <c r="X9" s="13" t="inlineStr">
        <is>
          <t>公式にFees and Refund Policy(PDF)あり;詳細要確認</t>
        </is>
      </c>
      <c r="Y9" s="12" t="inlineStr">
        <is>
          <t>EAP進学に強い;無料ワークショップ毎日;無料個別チュータリング;日本人比率低め;日本人スタッフ在籍(非公式);母国語禁止方針(非公式);Job Placement;4キャンパス(Sydney/Melbourne/Brisbane/Adelaide);ECA College傘下</t>
        </is>
      </c>
      <c r="Z9" s="12" t="inlineStr">
        <is>
          <t>https://www.elsis.edu.au ; https://www.elsis.edu.au/campus-sydney/ ; https://www.elsis.edu.au/general-english/ ; https://www.elsis.edu.au/forms-and-policies/ ; https://world-study.com/school/1380/ ; https://smaryu.com/country/au/school/58712/</t>
        </is>
      </c>
      <c r="AA9" s="12" t="inlineStr">
        <is>
          <t>公式は料金非掲載の見積制(週授業料・入学金・教材費は要見積)。生徒数・日本人比率・クラス人数・年齢はエージェント値(公式未確認)。住所は現行Ultimo(公式);エージェントは旧住所(Sussex/Kent St)掲載=移転前情報。ECA College統合済み。通貨AUD(公式T&amp;C)。</t>
        </is>
      </c>
    </row>
    <row r="10" ht="150" customHeight="1">
      <c r="A10" s="12" t="inlineStr">
        <is>
          <t>EF International Language Center Sydney</t>
        </is>
      </c>
      <c r="B10" s="12" t="inlineStr">
        <is>
          <t>EF シドニー校</t>
        </is>
      </c>
      <c r="C10" s="12" t="inlineStr">
        <is>
          <t>オーストラリア</t>
        </is>
      </c>
      <c r="D10" s="12" t="inlineStr">
        <is>
          <t>シドニー(Chippendale)</t>
        </is>
      </c>
      <c r="E10" s="12" t="inlineStr">
        <is>
          <t>53 Balfour Street, Chippendale, Sydney NSW 2008</t>
        </is>
      </c>
      <c r="F10" s="12" t="inlineStr">
        <is>
          <t>AUD</t>
        </is>
      </c>
      <c r="G10" s="13" t="inlineStr">
        <is>
          <t>要確認(公式=一括見積制)。参考:授業料のみBasic 週€490(非公式;languagecourse2026・EUR表示)</t>
        </is>
      </c>
      <c r="H10" s="13" t="inlineStr">
        <is>
          <t>要確認。参考:Intensive/Business 週€620(非公式;languagecourse・EUR)</t>
        </is>
      </c>
      <c r="I10" s="13" t="inlineStr">
        <is>
          <t>要確認(公式非掲載)。参考:€150(非公式;languagecourse)</t>
        </is>
      </c>
      <c r="J10" s="13" t="inlineStr">
        <is>
          <t>要確認(公式非掲載)。参考:期間別約€45〜240;試験対策€60(非公式;languagecourse)</t>
        </is>
      </c>
      <c r="K10" s="13" t="inlineStr">
        <is>
          <t>要確認(公式・取得各サイトに明記なし。langpediaに「春休みは日本人多い」の体験談のみ)</t>
        </is>
      </c>
      <c r="L10" s="12" t="inlineStr">
        <is>
          <t>300〜450名(非公式;world-study)</t>
        </is>
      </c>
      <c r="M10" s="12" t="inlineStr">
        <is>
          <t>アジア40%;ヨーロッパ30%;ラテンアメリカ10%;その他(非公式;world-study)。平均年齢が若めとの注記(languagecourse)</t>
        </is>
      </c>
      <c r="N10" s="12" t="inlineStr">
        <is>
          <t>16歳以上(非公式;world-study/langpedia/languagecourse)</t>
        </is>
      </c>
      <c r="O10" s="12" t="inlineStr">
        <is>
          <t>最大17／平均12(非公式;languagecourse)</t>
        </is>
      </c>
      <c r="P10" s="12" t="inlineStr">
        <is>
          <t>一般英語;試験対策;ビジネス</t>
        </is>
      </c>
      <c r="Q10" s="12" t="inlineStr">
        <is>
          <t>Basic(週20レッスン);General(週26);Intensive(週32);Business(週32);TOEFL;IELTS;Cambridge FCE/CAE/CPE;EF Academic Year(長期)(非公式;languagecourse/world-study)。1レッスン40分</t>
        </is>
      </c>
      <c r="R10" s="12" t="inlineStr">
        <is>
          <t>毎週入学可(General/Intensive/IELTS/TOEFL/Business)/一部固定(Basic・ケンブリッジ系)</t>
        </is>
      </c>
      <c r="S10" s="12" t="inlineStr">
        <is>
          <t>毎週月曜開講(完全初心者は月1回指定日);ケンブリッジFCE/CAE/CPEは年数回固定(2026例:1/5・4/13・6/15・9/14)(非公式;languagecourse)</t>
        </is>
      </c>
      <c r="T10" s="12" t="inlineStr">
        <is>
          <t>A0(完全初心者)〜C2(超上級)の全レベル(非公式;languagecourse)</t>
        </is>
      </c>
      <c r="U10" s="12" t="inlineStr">
        <is>
          <t>学生寮(Sydney Student Living/Concord);ホームステイ(相部屋;個室アップグレード可);空港送迎(非公式;languagecourse)</t>
        </is>
      </c>
      <c r="V10" s="12" t="inlineStr">
        <is>
          <t>English Australia;NEAS;CRICOS;ASQA;ケンブリッジ公式試験センター(非公式;languagecourse/world-study)</t>
        </is>
      </c>
      <c r="W10" s="13" t="inlineStr">
        <is>
          <t>要確認(提携大学進学パスウェイの明示なし;長期のEF Academic Year等はあり)</t>
        </is>
      </c>
      <c r="X10" s="13" t="inlineStr">
        <is>
          <t>EF公式規約(efjapan.co.jp/legal/terms-and-conditions)あり;詳細要確認</t>
        </is>
      </c>
      <c r="Y10" s="12" t="inlineStr">
        <is>
          <t>EF直営(仲介手数料なし);世界50都市;100カ国以上の学生;EF独自学習システム/EF Classアプリ;ケンブリッジ試験会場;少人数(最大17);学生ラウンジ(ビリヤード/卓球/ゲーム);平均年齢若め;中央駅徒歩10分;設立1965年;日本人サポートなし(非公式;world-study)</t>
        </is>
      </c>
      <c r="Z10" s="12" t="inlineStr">
        <is>
          <t>https://www.efjapan.co.jp/pg/gogaku-ryugaku/australia/sydney/ ; https://world-study.com/school/1527/ ; https://world-study.com/school/1527/charge/ ; https://langpedia.jp/school/11197/ ; https://www.languagecourse.net/discount-ryugaku/gakko-ef-international-language-center-sydney.php3</t>
        </is>
      </c>
      <c r="AA10" s="12" t="inlineStr">
        <is>
          <t>EF Japan公式は住所・料金内訳・比率など非掲載;数値はエージェント/比較サイト由来(公式未確認)。料金は一括見積制;languagecourseはEUR建て・宿泊込/授業料のみを区別;world-study charge欄は2020年版・AUD・ホームステイ込=最新AUD授業料/入学金/教材費は要見積。住所は現行Chippendale(過去にCBD側から移転の可能性)。langpediaは無断複製サイト警告あり参考程度。通貨は豪州校のためAUD。</t>
        </is>
      </c>
    </row>
    <row r="11" ht="150" customHeight="1">
      <c r="A11" s="12" t="inlineStr">
        <is>
          <t>Navitas English Sydney (Hyde Park campus)</t>
        </is>
      </c>
      <c r="B11" s="12" t="inlineStr">
        <is>
          <t>ナビタス イングリッシュ シドニー(ハイドパーク校)</t>
        </is>
      </c>
      <c r="C11" s="12" t="inlineStr">
        <is>
          <t>オーストラリア</t>
        </is>
      </c>
      <c r="D11" s="12" t="inlineStr">
        <is>
          <t>シドニー</t>
        </is>
      </c>
      <c r="E11" s="12" t="inlineStr">
        <is>
          <t>Level 3, 255 Elizabeth Street, Sydney NSW 2000（Hyde Park向かい;Museum駅150m/Town Hall駅450m）</t>
        </is>
      </c>
      <c r="F11" s="12" t="inlineStr">
        <is>
          <t>AUD</t>
        </is>
      </c>
      <c r="G11" s="12" t="n">
        <v>490</v>
      </c>
      <c r="H11" s="12" t="n">
        <v>590</v>
      </c>
      <c r="I11" s="12" t="n">
        <v>290</v>
      </c>
      <c r="J11" s="12" t="inlineStr">
        <is>
          <t>20/週(24週以上は上限480)</t>
        </is>
      </c>
      <c r="K11" s="12" t="inlineStr">
        <is>
          <t>約12〜17%(非公式;lastresort2026=17%/wavenetwork=12〜14%)</t>
        </is>
      </c>
      <c r="L11" s="12" t="inlineStr">
        <is>
          <t>公式=定員600(最大収容);在籍実数は公式非掲載。約280〜550名(非公式;lastresort2026=550/deow=470/wavenetwork=280)</t>
        </is>
      </c>
      <c r="M11" s="12" t="inlineStr">
        <is>
          <t>日本17;韓国15;モンゴル13;中国10;台湾9;コロンビア6;ブラジル5;タイ4;他アジア8;欧州3;中南米4;中東6(非公式;lastresort2026)。アジア系最多・南米多め(deow/wavenetworkも同傾向)</t>
        </is>
      </c>
      <c r="N11" s="12" t="inlineStr">
        <is>
          <t>16歳以上(公式)</t>
        </is>
      </c>
      <c r="O11" s="12" t="inlineStr">
        <is>
          <t>平均15／最大18(公式)</t>
        </is>
      </c>
      <c r="P11" s="12" t="inlineStr">
        <is>
          <t>一般英語;試験対策;進学準備</t>
        </is>
      </c>
      <c r="Q11" s="12" t="inlineStr">
        <is>
          <t>General English(CRICOS 0101937);English Language Programs Beg-Adv(059325C);Academic English AE1(111367A・旧077031A);AE2(111368M・旧077032M);AE3(109382J);AE4(109383H);IELTS Preparation(093053F);Cambridge Preparation B1 Preliminary(030816M);B2 First(030815A);C1 Advanced(030817K);C2 Proficiency(030818J);Private Tuition</t>
        </is>
      </c>
      <c r="R11" s="12" t="inlineStr">
        <is>
          <t>毎週入学可(一般英語)/固定開講(Academic・Cambridge)</t>
        </is>
      </c>
      <c r="S11" s="12" t="inlineStr">
        <is>
          <t>一般英語=毎週月曜開講;昼8:10-14:00(myStudy含む)/夜17:10-21:30(Sydneyのみ);20時間/週+myStudy5時間(昼)。Academic=10週;Cambridge=9-12週ブロック</t>
        </is>
      </c>
      <c r="T11" s="12" t="inlineStr">
        <is>
          <t>一般英語=Beginner〜Advanced(6段階);Academic=AE1-AE4;Cambridge=B1〜C2;IELTS=中上級・上級</t>
        </is>
      </c>
      <c r="U11" s="12" t="inlineStr">
        <is>
          <t>ホームステイ(標準/VIP/自炊);学生寮・independent accommodation手配(Sydney);レンタル物件;空港送迎</t>
        </is>
      </c>
      <c r="V11" s="12" t="inlineStr">
        <is>
          <t>CRICOS 00289M;English Australia会員(1990年〜);TEQSA・ASQA規制。※NEAS表記なし</t>
        </is>
      </c>
      <c r="W11" s="12" t="inlineStr">
        <is>
          <t>あり(Academic Pathways;Direct Entry Agreements;Curtin University 等)</t>
        </is>
      </c>
      <c r="X11" s="13" t="inlineStr">
        <is>
          <t>公式にConditions of Enrolment/Policies and Formsを掲載;詳細要確認</t>
        </is>
      </c>
      <c r="Y11" s="12" t="inlineStr">
        <is>
          <t>Hyde Park向かい・都心;Museum駅150m/Town Hall駅450m;15階建てビル1フロア;全教室SMARTボード;昼夜開講(夜はSydneyのみ);myStudy自習;Boomerang社会活動;English Only Policy(非公式);エアリンク=校舎間無料片道航空券(非公式);ケンブリッジ合格率80%以上(非公式);設立1981年(非公式);就職サポートなし(非公式;lastresort)</t>
        </is>
      </c>
      <c r="Z11" s="12" t="inlineStr">
        <is>
          <t>https://www.navitasenglish.edu.au/school/sydney/tour/ ; https://www.navitasenglish.edu.au/courses/general-english/ ; https://www.navitasenglish.edu.au/courses/accreditation/ ; 公式2026料金表(Tuition Fees 2026 / Homestay &amp; Accommodation Fees Jan2026) ; https://deow.jp/australia/school/navitas-english-hyde-park ; https://www.wavenetwork.com.au/school/details.html?id=syd26 ; https://www.lastresort.co.jp/language_schools/detail/?schoolCode=0207 ; CRICOS公式登録 cricos.education.gov.au(Navitas English Services Pty Ltd／各コース登録画面スクショ13点)</t>
        </is>
      </c>
      <c r="AA11" s="12" t="inlineStr">
        <is>
          <t>料金は公式2026年表(適用2026/1/1-12/31・AUD)。分割手数料$200・ケンブリッジ受験料各$450。滞在費(別掲)例:標準ホームステイSydneyシングル$410/週・VIP$470・自炊$340・空港送迎片道$195。生徒数は公式が定員600のみ(在籍実数非掲載);日本人比率・在籍数はエージェント値で出所間に幅(280〜550名/日本人12〜17%;lastresortが2026で最新)。deowの日本国籍限定$405〜やlastresort JPYキャンペーンは非公式割引で不採用(公式$590/$490を採用)。NEAS表記は確認できず。 【追記(CRICOS公式登録;Navitas English Services Pty Ltd)】各コースのCRICOSコード＝General English(0101937)／English Language Programs Beginner-Advanced(059325C)／Academic English AE1(111367A・旧077031A)・AE2(111368M・旧077032M)・AE3(109382J)・AE4(109383H)／IELTS Preparation(093053F)／Cambridge Preparation B1 Preliminary(030816M)・B2 First(030815A)・C1 Advanced(030817K)・C2 Proficiency(030818J)。登録拠点はPerth/Sydney/Brisbane。CRICOS登録の週授業料はTuition÷週数で全コース一律約$590/週(例:AE 12週$7,080／IELTS 32週$18,880／ELP 60週$35,400／GE 62週$36,580)で、既存H列$590と一致。Non-Tuition FeeはAE・Cambridge(12週)$530、IELTS・ELP・GE(長期)$770で、いずれも入学金$290＋教材費(短期$20×週／長期上限$480)の合算に一致し既存の入学金・教材費・週$590を追認。認定欄のCRICOS 00289Mはプロバイダーコード(コースコードとは別)。</t>
        </is>
      </c>
    </row>
    <row r="12" ht="170" customHeight="1">
      <c r="A12" s="12" t="inlineStr">
        <is>
          <t>OHC English (Oxford House College) Sydney</t>
        </is>
      </c>
      <c r="B12" s="12" t="inlineStr">
        <is>
          <t>OHC シドニー(オックスフォード・ハウス・カレッジ シドニー校)</t>
        </is>
      </c>
      <c r="C12" s="12" t="inlineStr">
        <is>
          <t>オーストラリア</t>
        </is>
      </c>
      <c r="D12" s="12" t="inlineStr">
        <is>
          <t>シドニー</t>
        </is>
      </c>
      <c r="E12" s="12" t="inlineStr">
        <is>
          <t>91 York Street, Sydney NSW 2000（Level 6;校舎はビル5〜8階。Town Hall/Wynyard駅徒歩5分）</t>
        </is>
      </c>
      <c r="F12" s="12" t="inlineStr">
        <is>
          <t>AUD</t>
        </is>
      </c>
      <c r="G12" s="12" t="inlineStr">
        <is>
          <t>335(非公式;languagecourse2026・GE Core15時間/週)</t>
        </is>
      </c>
      <c r="H12" s="12" t="inlineStr">
        <is>
          <t>425(非公式;languagecourse2026・GE Plus20時間/週。Intensive30h・試験対策は別料金)</t>
        </is>
      </c>
      <c r="I12" s="12" t="inlineStr">
        <is>
          <t>250(学生ビザ)/100(観光・WHビザ)(非公式;languagecourse2026・ryugaku-au)</t>
        </is>
      </c>
      <c r="J12" s="12" t="inlineStr">
        <is>
          <t>130(1-10週)/220(11-20週)/260(21-30週)/300(31週〜)(非公式;languagecourse2026。ryugaku-au2024は100/190/230/270)</t>
        </is>
      </c>
      <c r="K12" s="12" t="inlineStr">
        <is>
          <t>16%(非公式;ryugaku-au 2024年1月)。languagecourse国籍上位に日本の記載なし</t>
        </is>
      </c>
      <c r="L12" s="12" t="inlineStr">
        <is>
          <t>100〜150名(公式ブローシャー)。約130名(非公式;ryugaku-au)</t>
        </is>
      </c>
      <c r="M12" s="12" t="inlineStr">
        <is>
          <t>ブラジル24%;韓国10%;トルコ8%;タイ7%;その他51%(非公式;languagecourse2026)。ryugaku-au:インドネシア;ベトナム;中国;韓国;タイ;イタリア;ブラジル 等</t>
        </is>
      </c>
      <c r="N12" s="12" t="inlineStr">
        <is>
          <t>16歳以上(ジュニアは12歳〜);平均24歳(非公式;languagecourse)</t>
        </is>
      </c>
      <c r="O12" s="12" t="inlineStr">
        <is>
          <t>平均12〜15／最大16(非公式;languagecourse=平均12・最大16/ryugaku-au=平均15)</t>
        </is>
      </c>
      <c r="P12" s="12" t="inlineStr">
        <is>
          <t>一般英語;試験対策;ビジネス;進学準備</t>
        </is>
      </c>
      <c r="Q12" s="12" t="inlineStr">
        <is>
          <t>General English;General English Plus;Intensive English;English for Business Success;Conversation &amp; Pronunciation;Conversation &amp; Grammar;English for Academic Purposes(EAP);IELTS Examination;Intensive TOEFL Preparation;Cambridge Examination(FCE/CAE/CPE);1-to-1 English;English for Teenagers;Year Round Group Programmes</t>
        </is>
      </c>
      <c r="R12" s="12" t="inlineStr">
        <is>
          <t>毎週入学可(毎週月曜)</t>
        </is>
      </c>
      <c r="S12" s="12" t="inlineStr">
        <is>
          <t>毎週月曜開講;GE=15時間/週;GE Plus=20時間/週;Intensive=30時間/週;IELTS=15時間/週(公式ブローシャー)。1レッスン60分;朝9:00開始(非公式;languagecourse)</t>
        </is>
      </c>
      <c r="T12" s="12" t="inlineStr">
        <is>
          <t>A2(初級)〜上級;完全初心者クラスはない場合あり;アダルト5レベル(非公式;languagecourse)。ryugaku-au=Beginner〜Advanced/7レベル</t>
        </is>
      </c>
      <c r="U12" s="12" t="inlineStr">
        <is>
          <t>ホームステイ;ホステル;レジデンス(公式ブローシャー)。シェアも(非公式;ryugaku-au)。手配料$400-420;空港送迎片道$250-270。ホームステイ料金例(非公式;languagecourse2026):シングル(平日2食/週末3食)$465/週・ダブル(2食)$420/週・18歳未満シングル(3食)$570/週;手配料$420(返金不可);ハイシーズン12/21-31 +$50/週;特別食+$80/週;空港送迎 到着$270・往復$540</t>
        </is>
      </c>
      <c r="V12" s="12" t="inlineStr">
        <is>
          <t>CRICOS 00040C(NSW;運営Holmes Colleges Sydney Pty Ltd);CRICOS Course Code 009526G/048844D/026586K(公式);ELICOS認定(非公式;languagecourse)</t>
        </is>
      </c>
      <c r="W12" s="12" t="inlineStr">
        <is>
          <t>あり(併設Holmes College/Holmes Instituteへ試験なしで進学可・学科により学士取得も)(非公式;ryugaku-au)。EAPで大学進学準備(公式ブローシャー)</t>
        </is>
      </c>
      <c r="X12" s="13" t="inlineStr">
        <is>
          <t>公式Terms &amp; Conditions(PDF)あり;詳細要確認</t>
        </is>
      </c>
      <c r="Y12" s="12" t="inlineStr">
        <is>
          <t>CBD好立地(York St);ルーフトップテラス・カフェ(公式);専門学校Holmes College併設;5キャンパス転校可(Sydney/Melbourne/Brisbane/Gold Coast/Cairns);Job-ready club;無料アクティビティ豊富;講師CELTA等有資格(非公式);日本人スタッフ不在(非公式;ryugaku-au)</t>
        </is>
      </c>
      <c r="Z12" s="12" t="inlineStr">
        <is>
          <t>https://www.ohcenglish.com/courses ; https://www.ohcenglish.com/about ; 公式2026ブローシャー https://www.ohcenglish.com/uploads/arquivos/2025/12/1-brochure.pdf ; Oxford House Sydneyファクトシート(スクショ) ; https://www.languagecourse.net/discount-ryugaku/gakko-ohc-english-sydney.php3 ; https://ryugaku-au.net/school/oxford-house-college-sydney/</t>
        </is>
      </c>
      <c r="AA12" s="12" t="inlineStr">
        <is>
          <t>公式の個別Sydneyページは現在404;公式情報は2026ブローシャー(ファクトシート)＋サイトフッターから取得。住所91 York St(公式);校舎はビル5〜8階(ryugaku-au Level 6表記)。料金は公式非掲載のためエージェント値(languagecourse2026主・ryugaku-au2024併記);GE授業料$335〜425/週はGEのみでIntensive・試験対策は別途。GE15h/GE Plus20h/Intensive30hは公式ブローシャー。日本人比率・国籍・クラス人数・入学金・教材費はエージェント値(公式未確認)。運営法人Holmes Colleges Sydney Pty Ltd;専門学校Holmes College併設。日本人スタッフ不在(ryugaku-au)。創立年は出所差(OHC英国系1963/ryugaku-au=1989)。 【再確認(languagecourse.net 2026/7/13更新)】授業料$335-425・入学金250/100・教材費130/220/260/300・国籍(ブラジル24/韓国10/トルコ8/タイ7/他51)は既存記載と一致(据置)。請求法人はOxford House (Holdings) Limited(税登録ID2701035;ブランド持株)。講師100%大卒・有資格。付帯費用(非公式):OSHC$65/月・コース/キャンパス変更$220・滞在延長$220。当ページは代理店情報で公式CRICOSコードの記載はなし(既存の公式CRICOS 00040C等が優位)。</t>
        </is>
      </c>
    </row>
    <row r="13" ht="180" customHeight="1">
      <c r="A13" s="12" t="inlineStr">
        <is>
          <t>Greenwich College Sydney (Pitt Street campus)</t>
        </is>
      </c>
      <c r="B13" s="12" t="inlineStr">
        <is>
          <t>グリニッジ カレッジ シドニー(ピットストリート校)</t>
        </is>
      </c>
      <c r="C13" s="12" t="inlineStr">
        <is>
          <t>オーストラリア</t>
        </is>
      </c>
      <c r="D13" s="12" t="inlineStr">
        <is>
          <t>シドニー</t>
        </is>
      </c>
      <c r="E13" s="12" t="inlineStr">
        <is>
          <t>Level 2, 396 Pitt Street, Sydney NSW 2000（入口はGoulburn Street側。Central/Town Hall/Museum駅至近）</t>
        </is>
      </c>
      <c r="F13" s="12" t="inlineStr">
        <is>
          <t>AUD</t>
        </is>
      </c>
      <c r="G13" s="12" t="inlineStr">
        <is>
          <t>約270(非公式;夜間・ryugaku-au)。公式は料金非掲載(代理店ポータル)</t>
        </is>
      </c>
      <c r="H13" s="12" t="inlineStr">
        <is>
          <t>約340〜435(非公式;昼。wavenetwork2025標準$340/ryugaku-au2020は$405〜435。割引後$300前後)</t>
        </is>
      </c>
      <c r="I13" s="12" t="inlineStr">
        <is>
          <t>240前後(学生ビザ;WH・観光は減額/無料キャンペーンあり)(非公式;wavenetwork2025。ryugaku-au2020は230/100)</t>
        </is>
      </c>
      <c r="J13" s="12" t="inlineStr">
        <is>
          <t>週15(最大約600)(非公式;wavenetwork2025。ryugaku-au2020は1-6週$60/7週〜$10/週・上限400)</t>
        </is>
      </c>
      <c r="K13" s="12" t="inlineStr">
        <is>
          <t>10%(非公式;ryugaku-au・wavenetwork一致)</t>
        </is>
      </c>
      <c r="L13" s="12" t="inlineStr">
        <is>
          <t>約700〜1000名(非公式;wavenetwork=約1000(大規模校)/ryugaku-au=約700)。公式は生徒数非掲載</t>
        </is>
      </c>
      <c r="M13" s="12" t="inlineStr">
        <is>
          <t>アジア48%;ヨーロッパ32%;南米17%;その他3%(非公式;wavenetwork)。主な国籍:イタリア;スペイン;フランス;スイス;ブラジル;コロンビア;ペルー;タイ;韓国</t>
        </is>
      </c>
      <c r="N13" s="13" t="inlineStr">
        <is>
          <t>要確認(成人コースの最低年齢は公式・エージェントに明記なし。ジュニアGlobal Explorersは7-16歳)</t>
        </is>
      </c>
      <c r="O13" s="12" t="inlineStr">
        <is>
          <t>平均16名(非公式;ryugaku-au・wavenetwork一致);33クラス/5レベル(非公式)。※公式Pitt St=教室25</t>
        </is>
      </c>
      <c r="P13" s="12" t="inlineStr">
        <is>
          <t>一般英語;試験対策;ビジネス;進学準備</t>
        </is>
      </c>
      <c r="Q13" s="12" t="inlineStr">
        <is>
          <t>General English;Pronunciation in Context;Cambridge Preparation(A2 KET/B1 PET/B2 FCE1・FCE2/C1 CAE);Cambridge FCE On-Demand;IELTS Preparation(Foundation/Advanced);English for Academic Purposes(EAP);English for Vocational Studies(EVS);English for Business(Admin&amp;Customer Service/Sales&amp;Marketing/Management&amp;HR);PTE(オンライン);Global Explorers(Junior/Study Groups)</t>
        </is>
      </c>
      <c r="R13" s="12" t="inlineStr">
        <is>
          <t>毎週入学可(一般英語・IELTS=毎週月曜)/固定開講(Cambridge・EAP・EVS・Business)</t>
        </is>
      </c>
      <c r="S13" s="12" t="inlineStr">
        <is>
          <t>一般英語=毎週月曜(1-52週);Pronunciation=4週ごと;Cambridge=8-12週(FCE On-Demandは毎週月曜);EAP=年3回・12週;EVS=5週ごと・10週;Business=4週ごと・4/8/12週。昼9:00-16:00/夜17:00-21:15(公式ブローシャー)</t>
        </is>
      </c>
      <c r="T13" s="12" t="inlineStr">
        <is>
          <t>Beginner〜Proficiency(7段階表示;GEはBeginner〜Upper Intermediate)(公式)。入学はGreenwich entry test。※エージェントは5レベルと記載</t>
        </is>
      </c>
      <c r="U13" s="13" t="inlineStr">
        <is>
          <t>ホームステイ(シングル約$335-405/週・手配料$290-390);シェア(Cozzy Stay;シングル$395/ツイン$235・手配料$270);空港送迎あり(非公式;ryugaku-au/wavenetwork)。公式サイトの滞在斡旋明示は要確認</t>
        </is>
      </c>
      <c r="V13" s="12" t="inlineStr">
        <is>
          <t>CRICOS 02672K;RTO 91153(公式);ケンブリッジ公式試験センター・TOEFL試験センター(公式Exam Centre)。ACPET/NRTはエージェント記載(非公式)</t>
        </is>
      </c>
      <c r="W13" s="12" t="inlineStr">
        <is>
          <t>あり(30+提携;AIT/Greenwich Higher Education/Macquarie University/Western Sydney University/Torrens/Griffith College/Kaplan/ICMS/TAFE NSW/Le Cordon Bleu 等)(公式ブローシャー)</t>
        </is>
      </c>
      <c r="X13" s="13" t="inlineStr">
        <is>
          <t>公式Terms &amp; Conditions(v26.2・2026年2月)PDFあり;詳細要確認。学生ハンドブックに財務不履行・規律違反時は返金なしの規定</t>
        </is>
      </c>
      <c r="Y13" s="12" t="inlineStr">
        <is>
          <t>NextEd Group(ASX:NXD)傘下;年間25,000名超・豪9キャンパス;CBD立地(Pitt St・Mary St);ケンブリッジ/TOEFL試験センター;30+進学提携;無料Speaking Club/Help Club/金曜選択;Job Ready;母国語禁止(English only);日本人スタッフ在籍(非公式);2006年設立;姉妹Greenwich Higher Education(AIT)</t>
        </is>
      </c>
      <c r="Z13" s="12" t="inlineStr">
        <is>
          <t>https://www.greenwichcollege.edu.au/campus/sydney ; https://www.greenwichcollege.edu.au/elicos ; 公式ブローシャー/Student Handbook(スクショ) ; https://ryugaku-au.net/school/greenwich-english-college/ ; https://www.wavenetwork.com.au/school/details.html?id=elc188</t>
        </is>
      </c>
      <c r="AA13" s="13" t="inlineStr">
        <is>
          <t>対象はPitt St校(Level 2, 396 Pitt St;入口Goulburn St)。公式は住所・コース・レベル・認定・進学提携・施設(教室25)を掲載、料金は非掲載(代理店ポータルはログイン制)。料金・日本人比率・生徒数・クラス人数・国籍・滞在費はエージェント値(公式未確認):授業料は昼約$340〜435/夜$270(wavenetwork2025標準$340/ryugaku-au2020は高め・割引あり);入学金$240前後;教材費週$15。生徒数は出所差(wavenetwork約1000/ryugaku-au約700);日本人比率10%は両者一致。成人コースの最低年齢は明記なし(要確認)。シドニーは公式2キャンパス(Pitt/Mary);wavenetworkはThomas St含む3との旧記載。運営Greenwich College PTY LTD/CRICOS 02672K/RTO 91153/NextEd Group傘下/2006年設立。</t>
        </is>
      </c>
    </row>
    <row r="14" ht="180" customHeight="1">
      <c r="A14" s="12" t="inlineStr">
        <is>
          <t>ILSC Language Schools Melbourne</t>
        </is>
      </c>
      <c r="B14" s="12" t="inlineStr">
        <is>
          <t>ILSC メルボルン校</t>
        </is>
      </c>
      <c r="C14" s="12" t="inlineStr">
        <is>
          <t>オーストラリア</t>
        </is>
      </c>
      <c r="D14" s="12" t="inlineStr">
        <is>
          <t>メルボルン</t>
        </is>
      </c>
      <c r="E14" s="12" t="inlineStr">
        <is>
          <t>Level 7, 120 Spencer Street, Melbourne VIC 3000（Southern Cross駅前。Tel +61-3-8595-8480）</t>
        </is>
      </c>
      <c r="F14" s="12" t="inlineStr">
        <is>
          <t>AUD</t>
        </is>
      </c>
      <c r="G14" s="12" t="n">
        <v>380</v>
      </c>
      <c r="H14" s="12" t="n">
        <v>460</v>
      </c>
      <c r="I14" s="12" t="n">
        <v>250</v>
      </c>
      <c r="J14" s="12" t="inlineStr">
        <is>
          <t>60(1-4週)/15/週(5週〜;上限450)</t>
        </is>
      </c>
      <c r="K14" s="12" t="inlineStr">
        <is>
          <t>約7〜15%(非公式;出所差。留学スクエア=年平均7%/lalala=8〜15%/activewoman=約15%)</t>
        </is>
      </c>
      <c r="L14" s="12" t="inlineStr">
        <is>
          <t>公式定員665名(ELICOS最大収容)。実在籍 約920〜1000名(非公式;activewoman約920/melbourne-study1000超。VET含む定義差の可能性)</t>
        </is>
      </c>
      <c r="M14" s="12" t="inlineStr">
        <is>
          <t>アジア約45%;中南米約37%;中東約10%;ヨーロッパ約7%(非公式;lalala)。主な国籍:日本;韓国;台湾;タイ;ベトナム;ブラジル;コロンビア</t>
        </is>
      </c>
      <c r="N14" s="12" t="inlineStr">
        <is>
          <t>16歳以上(公式)。幅広い年齢層(非公式)。平均年齢は非掲載</t>
        </is>
      </c>
      <c r="O14" s="12" t="inlineStr">
        <is>
          <t>最大18(公式)／平均約15(非公式;lalala)</t>
        </is>
      </c>
      <c r="P14" s="12" t="inlineStr">
        <is>
          <t>一般英語;試験対策;ビジネス;進学準備</t>
        </is>
      </c>
      <c r="Q14" s="12" t="inlineStr">
        <is>
          <t>General English;University Pathway;Creative &amp; Cultural English;Business English;EAP;Medical English;IELTS Mastery;Cambridge Mastery;Business English &amp; Hospitality Mastery;Café Work Skills;Tutoring</t>
        </is>
      </c>
      <c r="R14" s="12" t="inlineStr">
        <is>
          <t>毎週月曜入学可(推奨はセッション最終週を避ける)</t>
        </is>
      </c>
      <c r="S14" s="12" t="inlineStr">
        <is>
          <t>フルタイム20時間/週(24レッスン・1レッスン50分)。午前8:30-13:00/午後13:15-17:15/夜17:30-21:30(Mon-Fri)。4週ごとにCore+Skills選択。※エージェントは週28時間集中の記載も</t>
        </is>
      </c>
      <c r="T14" s="12" t="inlineStr">
        <is>
          <t>初級〜上級(General EnglishはFoundation〜;多段階レベル)。開始時プレースメントテスト</t>
        </is>
      </c>
      <c r="U14" s="12" t="inlineStr">
        <is>
          <t>ホームステイ(ハーフボード2食;18歳以上415/週・18歳未満440/週);学生レジデンス/アパート手配;空港送迎片道200;宿泊手配料370(公式2026)</t>
        </is>
      </c>
      <c r="V14" s="12" t="inlineStr">
        <is>
          <t>CRICOS 02137M;RTO 31564(ILSC (Brisbane) Pty Ltd);NEAS認定;English Australia会員(公式)</t>
        </is>
      </c>
      <c r="W14" s="12" t="inlineStr">
        <is>
          <t>あり(University Pathway;160校以上の大学/カレッジ/TAFE提携;TOEFL/IELTS不要;姉妹校Greystone College)(公式)</t>
        </is>
      </c>
      <c r="X14" s="13" t="inlineStr">
        <is>
          <t>登録料250・教材費は返金不可(公式price list明記)。全体の返金規定はPolicies &amp; Procedures参照(要確認)</t>
        </is>
      </c>
      <c r="Y14" s="12" t="inlineStr">
        <is>
          <t>Southern Cross駅前;2016年開校;母国語禁止(English only);日本人カウンセラー在籍(非公式);Café Work Skills(バリスタ);無料Job Club;ボランティア活動充実;学生ビザで週24時間就労可;教室37・PC室2・カフェ/卓球/礼拝室;姉妹校Greystone College(同ビル9・16階でVET);ILSC Education Group(豪5都市)</t>
        </is>
      </c>
      <c r="Z14" s="12" t="inlineStr">
        <is>
          <t>https://www.ilsc.com/language-schools/destinations/australia/city/melbourne ; https://www.ilsc.com/language-schools/price-list/melbourne ; 公式ブローシャー(ILSC Education Group・スクショ) ; https://www.lalalaaustralia.com/school/1057/ ; https://activewoman.jp/school/melbourne/ilsc-melbourne/ ; https://www.lieugaksquare.com/country/au_school/ilsc-melbourne/</t>
        </is>
      </c>
      <c r="AA14" s="12" t="inlineStr">
        <is>
          <t>公式(destinationページ＋2026 price list)で住所・料金・定員665・最大クラス18・最低16歳・教室37・認定・コースを取得(料金AUD・2026適用)。授業料は時間帯差(午前$420-460/午後・夜$380);フルタイム20時間/週。日本人比率・実在籍数・国籍・平均クラス人数はエージェント値(公式未確認):日本人比率は出所差7〜15%;生徒数は公式定員665に対しエージェントは約920〜1000(VET含む定義差の可能性)。母国語禁止・日本人カウンセラー在籍(非公式)。運営ILSC (Brisbane) Pty Ltd/CRICOS 02137M/RTO 31564。既存6行目のILSCシドニー校とは別キャンパス。</t>
        </is>
      </c>
    </row>
    <row r="15" ht="190" customHeight="1">
      <c r="A15" s="12" t="inlineStr">
        <is>
          <t>Impact English College Melbourne</t>
        </is>
      </c>
      <c r="B15" s="12" t="inlineStr">
        <is>
          <t>インパクト イングリッシュ カレッジ メルボルン校</t>
        </is>
      </c>
      <c r="C15" s="12" t="inlineStr">
        <is>
          <t>オーストラリア</t>
        </is>
      </c>
      <c r="D15" s="12" t="inlineStr">
        <is>
          <t>メルボルン</t>
        </is>
      </c>
      <c r="E15" s="12" t="inlineStr">
        <is>
          <t>Level 5, 595 Little Collins Street, Melbourne VIC 3000（Southern Cross駅徒歩約4分。Tel +61-3-9670-2840）</t>
        </is>
      </c>
      <c r="F15" s="12" t="inlineStr">
        <is>
          <t>AUD</t>
        </is>
      </c>
      <c r="G15" s="12" t="n">
        <v>410</v>
      </c>
      <c r="H15" s="12" t="n">
        <v>410</v>
      </c>
      <c r="I15" s="12" t="n">
        <v>200</v>
      </c>
      <c r="J15" s="12" t="inlineStr">
        <is>
          <t>15/週(最低$60/コース)</t>
        </is>
      </c>
      <c r="K15" s="12" t="inlineStr">
        <is>
          <t>約20%(非公式;Impactパンフ平均値との体験談。時期で変動。クラス分けは1クラス日本人約2名)</t>
        </is>
      </c>
      <c r="L15" s="13" t="inlineStr">
        <is>
          <t>要確認(大規模校との評のみ;具体数の公式・エージェント記載なし。Pre-Intだけで9クラスとの情報)</t>
        </is>
      </c>
      <c r="M15" s="12" t="inlineStr">
        <is>
          <t>40カ国以上(非公式;world-avenue)。アジア(日本・韓国・台湾);南米(コロンビア・ブラジル);ヨーロッパ。国籍バランス調整あり</t>
        </is>
      </c>
      <c r="N15" s="12" t="inlineStr">
        <is>
          <t>18歳以上(公式;全コース最低18歳)</t>
        </is>
      </c>
      <c r="O15" s="13" t="inlineStr">
        <is>
          <t>最大18(公式;Barista/Caféは最大14)。少人数・国籍バランス調整(非公式)。平均は要確認</t>
        </is>
      </c>
      <c r="P15" s="12" t="inlineStr">
        <is>
          <t>一般英語;試験対策;ビジネス;進学準備</t>
        </is>
      </c>
      <c r="Q15" s="12" t="inlineStr">
        <is>
          <t>General English;Extreme English(Foundation/Excel);Barista/Café English;Business English(メルボルンのみ);IELTS/EAP;Cambridge B2 First(FCE);Cambridge C1 Advanced(CAE)</t>
        </is>
      </c>
      <c r="R15" s="12" t="inlineStr">
        <is>
          <t>毎週入学可(GE/Business/IELTS=毎週月曜)/固定開講(Extreme・Barista・Cambridgeは指定開講日)</t>
        </is>
      </c>
      <c r="S15" s="12" t="inlineStr">
        <is>
          <t>全コース週20時間。午前8:30-12:55/午後13:05-17:30(Mon-Fri)。GEは毎週月曜・6レベル。Extreme各10週/Barista5週/Cambridge10-12週(closed class)。10週ごと成績表・5週ごと面談</t>
        </is>
      </c>
      <c r="T15" s="12" t="inlineStr">
        <is>
          <t>6レベル(Elementary〜Advanced)。入学時プレースメントテスト。レベル修了目安約10週</t>
        </is>
      </c>
      <c r="U15" s="12" t="inlineStr">
        <is>
          <t>ホームステイ(平日2食/週末3食;シングル$410/週・ダブル$780;手配料$350;最低4週);学生レジデンス(Iglu Flagstaff Gardens $500/Melbourne City $550);空港送迎$200(Tullamarine)/$300(Avalon)(公式2026)</t>
        </is>
      </c>
      <c r="V15" s="13" t="inlineStr">
        <is>
          <t>CRICOS 02995B(公式);Cambridge公式試験会場(公式ブローシャー);IALC加盟。NEAS/English Australiaは要確認</t>
        </is>
      </c>
      <c r="W15" s="12" t="inlineStr">
        <is>
          <t>あり(TAFE・大学・カレッジへ直接進学;IELTS不要;出席80%以上等の条件)。GE→Extreme→IELTS/EAP・Cambridgeの進学モデル(公式ブローシャー)</t>
        </is>
      </c>
      <c r="X15" s="13" t="inlineStr">
        <is>
          <t>開講後の途中解約は返金なし(公式Student Handbook明記)。全体規定はComplaints/Appeals参照(要確認)</t>
        </is>
      </c>
      <c r="Y15" s="12" t="inlineStr">
        <is>
          <t>English Onlyポリシー徹底(違反で1日停学);Cambridge公式試験会場;Barista/Café English(併設Café Impresso・提携コーヒーアカデミー);受賞歴(Victorian International Education Awards等);Southern Cross駅至近;Melbourne&amp;Brisbaneの2校;日本語対応スタッフ在籍(非公式);ICON(Moodle)LMS;無料アクティビティ毎日;Demi Pairプログラムあり</t>
        </is>
      </c>
      <c r="Z15" s="12" t="inlineStr">
        <is>
          <t>https://www.impactenglish.edu.au/ ; https://www.impactenglish.edu.au/files/2026_impact_english_college_price_list.pdf ; https://www.impactenglish.edu.au/student-handbook.html ; 公式ブローシャー(スクショ) ; https://www.world-avenue.co.jp/schoolinfo/impact ; https://au-ryugaku.com/school/impact-english-melbourne/ ; https://melbourne-study.com/school/impact-english-college/</t>
        </is>
      </c>
      <c r="AA15" s="13" t="inlineStr">
        <is>
          <t>公式(2026 price list PDF＋ブローシャー＋Student Handbook)で住所・料金・コース・CRICOS・最低年齢・最大クラス・滞在費・返金を取得(AUD・2026適用)。授業料は全コース一律$410/週、教材費$15/週(最低$60)、申込金$200。日本人比率・国籍・平均クラス人数はエージェント値(公式未確認):日本人比率はパンフ平均約20%だが時期変動、クラス分けは日本人約2名。生徒総数の具体値は要確認(大規模校)。Business Englishはメルボルンのみ。運営Impact English College/CRICOS 02995B。</t>
        </is>
      </c>
    </row>
    <row r="16" ht="190" customHeight="1">
      <c r="A16" s="12" t="inlineStr">
        <is>
          <t>BROWNS English Language School Melbourne</t>
        </is>
      </c>
      <c r="B16" s="12" t="inlineStr">
        <is>
          <t>ブラウンズ イングリッシュ ランゲージ スクール メルボルン校</t>
        </is>
      </c>
      <c r="C16" s="12" t="inlineStr">
        <is>
          <t>オーストラリア</t>
        </is>
      </c>
      <c r="D16" s="12" t="inlineStr">
        <is>
          <t>メルボルン</t>
        </is>
      </c>
      <c r="E16" s="12" t="inlineStr">
        <is>
          <t>Level 3, 30 Church Lane, Melbourne VIC 3000（Flinders St/Southern Cross駅徒歩圏・Free Tram Zone内。2024年1月開校）</t>
        </is>
      </c>
      <c r="F16" s="12" t="inlineStr">
        <is>
          <t>AUD</t>
        </is>
      </c>
      <c r="G16" s="12" t="inlineStr">
        <is>
          <t>約360(非公式;wavenetwork・長期/キャンペーン)。公式料金は今回未取得(要見積)</t>
        </is>
      </c>
      <c r="H16" s="12" t="inlineStr">
        <is>
          <t>約410(非公式;wavenetwork・短期。17週$410/24週$365/50週$360)。公式料金は今回未取得</t>
        </is>
      </c>
      <c r="I16" s="12" t="inlineStr">
        <is>
          <t>270(非公式;wavenetwork2025-26キャンペーン)</t>
        </is>
      </c>
      <c r="J16" s="12" t="inlineStr">
        <is>
          <t>週18(上限あり)(非公式;wavenetwork)</t>
        </is>
      </c>
      <c r="K16" s="12" t="inlineStr">
        <is>
          <t>約13〜15%(非公式;wavenetwork=13%/studyabroad=15%)</t>
        </is>
      </c>
      <c r="L16" s="12" t="inlineStr">
        <is>
          <t>約250名(非公式;wavenetwork。平均25カ国)。2024年1月開校の新キャンパス</t>
        </is>
      </c>
      <c r="M16" s="12" t="inlineStr">
        <is>
          <t>日本15%;コロンビア10%;タイ10%;トルコ9%;ブラジル8% 等(非公式;studyabroad)。平均25カ国(wavenetwork)</t>
        </is>
      </c>
      <c r="N16" s="12" t="inlineStr">
        <is>
          <t>16歳以上(公式ブローシャー;成人コース)。高校準備11-17歳/小学準備6-11歳</t>
        </is>
      </c>
      <c r="O16" s="12" t="inlineStr">
        <is>
          <t>平均約12/最大18(非公式;studyabroad)。公式ブローシャーは16教室</t>
        </is>
      </c>
      <c r="P16" s="12" t="inlineStr">
        <is>
          <t>一般英語;試験対策;進学準備(＋Barista=職業/ホスピタリティ英語)</t>
        </is>
      </c>
      <c r="Q16" s="12" t="inlineStr">
        <is>
          <t>Intensive General English(IGE);Advanced English Academic Practice(AEAP1-3);IELTS Exam Preparation;Barista@BROWNS(全国認定);Cambridge FCE/CAE(メルボルン開講は変動);High School Preparation;Primary School Preparation;GE part-time</t>
        </is>
      </c>
      <c r="R16" s="12" t="inlineStr">
        <is>
          <t>毎週入学可(IGE/IELTS=毎週月曜)/固定開講(AEAP・Barista・Cambridgeは指定開講日)</t>
        </is>
      </c>
      <c r="S16" s="12" t="inlineStr">
        <is>
          <t>週25時間(授業20時間+Accelerate5時間)。IGEは毎週月曜・各レベル約10週。メルボルンは現時点モーニングのみ開講(非公式;2025)。母国語禁止(母国語3回で1日停学)・10分以上遅刻で参加不可</t>
        </is>
      </c>
      <c r="T16" s="12" t="inlineStr">
        <is>
          <t>Beginner〜Advanced(6レベル;A0〜C1)。初級開講あり。入学時レベルテスト(BOPT)</t>
        </is>
      </c>
      <c r="U16" s="12" t="inlineStr">
        <is>
          <t>ホームステイ(政府犯罪歴チェック済・ハーフボード;公共交通約75分圏);学生アパート(Docklands/Flagstaff/Fulton Lane/Yugo;キャンパス5〜30分);空港送迎(有料);24時間緊急サポート</t>
        </is>
      </c>
      <c r="V16" s="12" t="inlineStr">
        <is>
          <t>CRICOS Provider 02663M;RTO 31998(Barista);English Australia加盟;NEAS認定;ACPET/ELICOS(非公式;wavenetwork)</t>
        </is>
      </c>
      <c r="W16" s="12" t="inlineStr">
        <is>
          <t>あり(140以上の大学/TAFE/カレッジ提携;AEAP進学準備。William Angliss・Melbourne Polytechnic等)(公式ブローシャー)</t>
        </is>
      </c>
      <c r="X16" s="13" t="inlineStr">
        <is>
          <t>要確認(公式ブローシャー・取得ページに返金規定の明記なし)。※IELTS/Cambridgeは目標未達時の無料再受講保証(条件あり)</t>
        </is>
      </c>
      <c r="Y16" s="12" t="inlineStr">
        <is>
          <t>English Onlyポリシー(母国語3回で1日停学);独自メソッドActive8/Passport/Accelerate;IELTS・ケンブリッジのスコア/合格保証;Barista@BROWNS(全国認定・RSA含む);140+進学パスウェイ;100%豪資本(2003年創業);35,000名超・100カ国超実績;Melbourne 2024年開校;主要駅徒歩圏・Free Tram Zone内;日本人スタッフ在籍(非公式);myBROWNSアプリ;無料アクティビティ毎日;3キャンパス間転校可</t>
        </is>
      </c>
      <c r="Z16" s="12" t="inlineStr">
        <is>
          <t>https://brownsenglish.edu.au/ ; 公式ブローシャー(スクショ) ; https://brownsenglish.edu.au/why-us/our-campuses/melbourne ; https://www.wavenetwork.com.au/school/details.html?id=elc247 ; https://www.studyabroad.co.jp/australia/school/browns-melbourne</t>
        </is>
      </c>
      <c r="AA16" s="13" t="inlineStr">
        <is>
          <t>対象はメルボルン校(Level 3, 30 Church Lane;2024年1月開校)。公式ブローシャーで住所・コース・CRICOSコース番号・レベル・週25時間・進学140+・滞在・English Onlyを取得。料金は公式ブローシャー非掲載のためエージェント値(非公式;wavenetworkキャンペーン):入学金$270・授業料週$360〜410(期間/キャンペーンで変動)・教材費$18/週。日本人比率(13〜15%)・生徒数(約250)・国籍・平均クラス(12名)はエージェント値(公式未確認)。メルボルンは現時点モーニングのみ開講。Cambridge開講は出所で相違(wavenetwork=2025休止予定/studyabroad=開講)＝要確認。CRICOS 02663M/RTO 31998/EA加盟/NEAS認定。Brisbane/Gold Coast/Melbourneの3校間転校可。</t>
        </is>
      </c>
    </row>
    <row r="17" ht="190" customHeight="1">
      <c r="A17" s="12" t="inlineStr">
        <is>
          <t>BROWNS English Language School Brisbane</t>
        </is>
      </c>
      <c r="B17" s="12" t="inlineStr">
        <is>
          <t>ブラウンズ イングリッシュ ランゲージ スクール ブリスベン校</t>
        </is>
      </c>
      <c r="C17" s="12" t="inlineStr">
        <is>
          <t>オーストラリア</t>
        </is>
      </c>
      <c r="D17" s="12" t="inlineStr">
        <is>
          <t>ブリスベン</t>
        </is>
      </c>
      <c r="E17" s="12" t="inlineStr">
        <is>
          <t>Level 8, 102 Adelaide Street, Brisbane QLD 4000（Central駅・King George Square至近。空港からバス約15分）</t>
        </is>
      </c>
      <c r="F17" s="12" t="inlineStr">
        <is>
          <t>AUD</t>
        </is>
      </c>
      <c r="G17" s="12" t="inlineStr">
        <is>
          <t>約360(非公式;wavenetwork・BROWNS共通・長期/キャンペーン)。公式料金は今回未取得(要見積)</t>
        </is>
      </c>
      <c r="H17" s="12" t="inlineStr">
        <is>
          <t>約410(非公式;wavenetwork・短期。17週$410/24週$365/50週$360)。公式料金は今回未取得</t>
        </is>
      </c>
      <c r="I17" s="12" t="inlineStr">
        <is>
          <t>270(非公式;wavenetwork・BROWNS共通)</t>
        </is>
      </c>
      <c r="J17" s="12" t="inlineStr">
        <is>
          <t>週18(上限あり)(非公式;wavenetwork)</t>
        </is>
      </c>
      <c r="K17" s="12" t="inlineStr">
        <is>
          <t>10%(非公式;wavenetwork)</t>
        </is>
      </c>
      <c r="L17" s="12" t="inlineStr">
        <is>
          <t>約150〜200名(非公式;wavenetworkデータ表150/本文約200)。男女比約50:50</t>
        </is>
      </c>
      <c r="M17" s="12" t="inlineStr">
        <is>
          <t>南米(コロンビア・ブラジル・メキシコ)多め;ヨーロッパ(イタリア・スイス・スウェーデン・スペイン);アジア(タイ・台湾・韓国)(非公式;wavenetwork)</t>
        </is>
      </c>
      <c r="N17" s="12" t="inlineStr">
        <is>
          <t>16歳以上(公式ブローシャー;成人)。18歳未満も在籍(高校準備等・クラスは分離)</t>
        </is>
      </c>
      <c r="O17" s="12" t="inlineStr">
        <is>
          <t>平均15/最大18(非公式;wavenetwork)。16クラス/6レベル</t>
        </is>
      </c>
      <c r="P17" s="12" t="inlineStr">
        <is>
          <t>一般英語;試験対策;進学準備(＋Barista=職業/ホスピタリティ英語)</t>
        </is>
      </c>
      <c r="Q17" s="12" t="inlineStr">
        <is>
          <t>Intensive General English(IGE);Advanced English Academic Practice(AEAP);IELTS Exam Preparation;Cambridge FCE/CAE Preparation;Barista@BROWNS(全国認定);High School Preparation;GE part-time</t>
        </is>
      </c>
      <c r="R17" s="12" t="inlineStr">
        <is>
          <t>毎週入学可(IGE/IELTS=毎週月曜)/固定開講(AEAP・Cambridge・Barista)</t>
        </is>
      </c>
      <c r="S17" s="12" t="inlineStr">
        <is>
          <t>週25時間(授業20時間+Accelerate5時間)。IGEは毎週月曜・各レベル約10週。モーニング/アフタヌーン開講(到着後の査定で決定)。母国語禁止(母国語3回で1日停学)・10分以上遅刻で参加不可</t>
        </is>
      </c>
      <c r="T17" s="12" t="inlineStr">
        <is>
          <t>Beginner〜Advanced(6レベル)。ブリスベンで唯一初級開講との評。入学時レベルテスト(BOPT)</t>
        </is>
      </c>
      <c r="U17" s="12" t="inlineStr">
        <is>
          <t>ホームステイ(政府犯罪歴チェック済・ハーフボード);学生アパート/ハウス(Johnson/Quay St/Student One等・キャンパス5〜30分);空港送迎(有料);24時間緊急サポート</t>
        </is>
      </c>
      <c r="V17" s="12" t="inlineStr">
        <is>
          <t>CRICOS Provider 02663M;RTO 31998(Barista);English Australia加盟;NEAS認定;ACPET/ELICOS(非公式;wavenetwork)</t>
        </is>
      </c>
      <c r="W17" s="12" t="inlineStr">
        <is>
          <t>あり(140以上の大学/TAFE/カレッジ提携;AEAP進学準備。Bond/CQU/Griffith/QUT/TAFE QLD等)(公式ブローシャー)</t>
        </is>
      </c>
      <c r="X17" s="13" t="inlineStr">
        <is>
          <t>要確認(公式ブローシャー・取得ページに返金規定の明記なし)。※IELTS/Cambridgeは目標未達時の無料再受講保証(条件あり)</t>
        </is>
      </c>
      <c r="Y17" s="12" t="inlineStr">
        <is>
          <t>English Onlyポリシー(母国語3回で1日停学);独自メソッドActive8/Passport/Accelerate;IELTS・ケンブリッジのスコア/合格保証;Barista@BROWNS(全国認定・RSA含む);140+進学パスウェイ;100%豪資本(2003年創業);ブリスベン校2009年開校・リノベ済;Penthouse View;Central駅/Queen St Mall至近;日本人スタッフ(Roy)在籍(非公式);myBROWNSアプリ;無料アクティビティ毎日;Gold Coast校へ転校可</t>
        </is>
      </c>
      <c r="Z17" s="12" t="inlineStr">
        <is>
          <t>https://brownsenglish.edu.au/ ; 公式ブローシャー(スクショ) ; https://www.wavenetwork.com.au/school/details.html?id=elc246</t>
        </is>
      </c>
      <c r="AA17" s="12" t="inlineStr">
        <is>
          <t>対象はブリスベン校(公式ブローシャー=Level 8, 102 Adelaide St。wavenetworkはLevel 1と旧記載だが公式のLevel 8を採用)。ブランド共通情報はメルボルン校と同じ。料金は公式ブローシャー非掲載のためエージェント値(非公式;wavenetwork・BROWNS全国共通の2026キャンペーン):入学金$270・授業料週$360〜410・教材費$18/週。日本人比率10%・生徒150〜200名・平均クラス15・国籍はエージェント値(公式未確認)。ブリスベンはCambridge FCE/CAE開講・モーニング/アフタヌーン両方開講(メルボルン校と相違)。2009年開校・姉妹Gold Coast校へ転校可。CRICOS 02663M/RTO 31998/EA加盟/NEAS認定。提供のstudyin.jp・deow.jpは今回未取得(必要なら追加確認可)。</t>
        </is>
      </c>
    </row>
    <row r="18" ht="190" customHeight="1">
      <c r="A18" s="12" t="inlineStr">
        <is>
          <t>ILSC Language Schools Brisbane</t>
        </is>
      </c>
      <c r="B18" s="12" t="inlineStr">
        <is>
          <t>ILSC ブリスベン校</t>
        </is>
      </c>
      <c r="C18" s="12" t="inlineStr">
        <is>
          <t>オーストラリア</t>
        </is>
      </c>
      <c r="D18" s="12" t="inlineStr">
        <is>
          <t>ブリスベン</t>
        </is>
      </c>
      <c r="E18" s="12" t="inlineStr">
        <is>
          <t>Level 1, 232 Adelaide Street, Brisbane QLD 4000（Central駅徒歩約2分。Tel +61-7-3220-0144）</t>
        </is>
      </c>
      <c r="F18" s="12" t="inlineStr">
        <is>
          <t>AUD</t>
        </is>
      </c>
      <c r="G18" s="12" t="n">
        <v>380</v>
      </c>
      <c r="H18" s="12" t="n">
        <v>460</v>
      </c>
      <c r="I18" s="12" t="n">
        <v>250</v>
      </c>
      <c r="J18" s="12" t="inlineStr">
        <is>
          <t>60(1-4週)/15/週(5週〜;上限450)</t>
        </is>
      </c>
      <c r="K18" s="12" t="inlineStr">
        <is>
          <t>約10〜19%(非公式;出所差。wavenetwork表19%・国籍内訳10%/ryugaku-johokan約16%/japamate10%前後)</t>
        </is>
      </c>
      <c r="L18" s="12" t="inlineStr">
        <is>
          <t>公式定員504名(ELICOS最大収容)。エージェント:月平均約1,000名(studyabroad)/全校690名(wavenetwork)/昼対面約200名。測定基準で差</t>
        </is>
      </c>
      <c r="M18" s="12" t="inlineStr">
        <is>
          <t>南米26%;ブラジル13%;その他アジア31%;韓国10%;日本10%;ヨーロッパ6%;中東3%(非公式;wavenetwork)。南米＋アジアで大半</t>
        </is>
      </c>
      <c r="N18" s="12" t="inlineStr">
        <is>
          <t>16歳以上(公式)。ジュニアキャンプ12-17歳</t>
        </is>
      </c>
      <c r="O18" s="12" t="inlineStr">
        <is>
          <t>平均16/最大18(非公式;wavenetwork・studyabroad一致)。10レベル・4週ごと選択。平均年齢27歳</t>
        </is>
      </c>
      <c r="P18" s="12" t="inlineStr">
        <is>
          <t>一般英語;試験対策;ビジネス;進学準備</t>
        </is>
      </c>
      <c r="Q18" s="12" t="inlineStr">
        <is>
          <t>General English;University Pathway;Creative &amp; Cultural English;Business English;EAP;Medical English;IELTS Mastery;Cambridge Mastery;Business English &amp; Hospitality Mastery;Café Work Skills;Tutoring;Junior Camp(12-17);CELTA/Trinity CertTESOL(教員養成)</t>
        </is>
      </c>
      <c r="R18" s="12" t="inlineStr">
        <is>
          <t>毎週月曜入学可(推奨はセッション最終週を避ける)</t>
        </is>
      </c>
      <c r="S18" s="12" t="inlineStr">
        <is>
          <t>フルタイム20時間/週(24レッスン・1レッスン50分)。午前8:30-13:00/午後13:15-17:15/夜17:30-21:30(Mon-Fri)。4週ごとにCore+Skills選択。母国語禁止(English Only)厳格</t>
        </is>
      </c>
      <c r="T18" s="12" t="inlineStr">
        <is>
          <t>初級〜上級(多段階;General EnglishはFoundation〜)。開始時プレースメントテスト</t>
        </is>
      </c>
      <c r="U18" s="12" t="inlineStr">
        <is>
          <t>ホームステイ(ハーフボード2食;18歳以上$395/週・18歳未満$420/週);学生レジデンス(Student One等);空港送迎片道$200(Gold Coast $225);宿泊手配料$370(公式2026)</t>
        </is>
      </c>
      <c r="V18" s="12" t="inlineStr">
        <is>
          <t>CRICOS 02137M;RTO 31564(ILSC (Brisbane) Pty Ltd);NEAS認定;English Australia会員;Green Standard Schools認定(公式)</t>
        </is>
      </c>
      <c r="W18" s="12" t="inlineStr">
        <is>
          <t>あり(University Pathway;160校以上の大学/カレッジ/TAFE提携;TOEFL/IELTS不要;姉妹校Greystone College)(公式)</t>
        </is>
      </c>
      <c r="X18" s="13" t="inlineStr">
        <is>
          <t>登録料$250・教材費は返金不可(公式price list明記)。全体の返金規定はPolicies &amp; Procedures参照(要確認)</t>
        </is>
      </c>
      <c r="Y18" s="12" t="inlineStr">
        <is>
          <t>母国語禁止(English Only)厳格;Central駅徒歩2分;2010年開校;定員504・教室28;IELTS/Cambridge試験センター;Café Work Skills(バリスタ);CELTA/CertTESOL(教員養成)開講;University Pathway(160校);姉妹校Greystone College(同グループVET);学生ビザで週24時間就労可;ILSC Education Group(豪5都市);Junior Camp(12-17)</t>
        </is>
      </c>
      <c r="Z18" s="12" t="inlineStr">
        <is>
          <t>https://www.ilsc.com/language-schools/destinations/australia/city/brisbane ; https://www.ilsc.com/language-schools/price-list/brisbane ; 公式ブローシャー(ILSC Education Group・スクショ) ; https://www.wavenetwork.com.au/school/details.html?id=bris11 ; https://www.studyabroad.co.jp/australia/school/ilsc-brisbane ; https://www.ryugaku-johokan.com/blog/australia-brisbane-ilsc ; https://www.lastresort.co.jp/study_abroad/school_search/school_detail/889/</t>
        </is>
      </c>
      <c r="AA18" s="12" t="inlineStr">
        <is>
          <t>公式(destinationページ＋2026 price list)で住所・料金・定員504・最大クラス18・最低16歳・教室28・認定・コースを取得(料金AUD・2026適用)。授業料は時間帯差(午前$420-460/午後・夜$380);フルタイム20時間/週。日本人比率・国籍・在籍数はエージェント値(公式未確認):日本人比率は約10〜19%(南米＋アジアで大半);規模は月平均約1,000名(studyabroad)・全校690名(wavenetwork)・昼対面約200名で公式定員504と測定基準が異なる。平均クラス16/最大18・平均年齢27歳・10レベル・4週ごと選択・転校は最低3セッション。設立2010年(公式・studyabroad一致;wavenetworkは2000年と誤記)。母国語禁止が厳格。ブリスベンはCELTA/CertTESOL開講。運営ILSC (Brisbane) Pty Ltd/CRICOS 02137M/RTO 31564。提供のschoolwith(40007)は今回未取得。既存ILSC Sydney(6行目)・Melbourne(14行目)とは別キャンパス。</t>
        </is>
      </c>
    </row>
    <row r="19" ht="200" customHeight="1">
      <c r="A19" s="12" t="inlineStr">
        <is>
          <t>Langports English Language College Brisbane</t>
        </is>
      </c>
      <c r="B19" s="12" t="inlineStr">
        <is>
          <t>ラングポーツ ブリスベン校</t>
        </is>
      </c>
      <c r="C19" s="12" t="inlineStr">
        <is>
          <t>オーストラリア</t>
        </is>
      </c>
      <c r="D19" s="12" t="inlineStr">
        <is>
          <t>ブリスベン</t>
        </is>
      </c>
      <c r="E19" s="12" t="inlineStr">
        <is>
          <t>Suncorp Plaza, 343 Albert Street, Brisbane City QLD 4000（King George Square駅隣・Central駅徒歩6分。旧住所33 Herschel St）</t>
        </is>
      </c>
      <c r="F19" s="12" t="inlineStr">
        <is>
          <t>AUD</t>
        </is>
      </c>
      <c r="G19" s="12" t="inlineStr">
        <is>
          <t>約390(非公式;studyin・UFO English短期$390/週〜。長期は逓減)</t>
        </is>
      </c>
      <c r="H19" s="12" t="inlineStr">
        <is>
          <t>約390(非公式;studyin・短期基準)。長期割引/キャンペーンで変動・正価は要見積</t>
        </is>
      </c>
      <c r="I19" s="13" t="inlineStr">
        <is>
          <t>要確認(取得ページに明記なし)</t>
        </is>
      </c>
      <c r="J19" s="13" t="inlineStr">
        <is>
          <t>要確認(取得ページに明記なし;教材はEnglish File/Headway等)</t>
        </is>
      </c>
      <c r="K19" s="12" t="inlineStr">
        <is>
          <t>約16〜24%(非公式;wavenetwork2024/11=24%/studyin=16%。時期変動)</t>
        </is>
      </c>
      <c r="L19" s="12" t="inlineStr">
        <is>
          <t>約240〜300名(非公式;wavenetwork=300(24カ国)/studyin=240)。男女比約50:50</t>
        </is>
      </c>
      <c r="M19" s="12" t="inlineStr">
        <is>
          <t>日本24%;ブラジル14%;コロンビア14%;台湾11%;タイ10%(非公式;wavenetwork2024/11)。22〜24カ国。studyin(旧)は日本16/コロンビア16/サウジ13/ブラジル13</t>
        </is>
      </c>
      <c r="N19" s="13" t="inlineStr">
        <is>
          <t>要確認(成人コースの最低年齢は取得ページに明記なし。High School Prep/Junior Holidayは若年向け)</t>
        </is>
      </c>
      <c r="O19" s="12" t="inlineStr">
        <is>
          <t>平均16(非公式;wavenetwork)。UFOは6レベル・技能別クラス編成。公式は14教室</t>
        </is>
      </c>
      <c r="P19" s="12" t="inlineStr">
        <is>
          <t>一般英語;試験対策;進学準備(＋インターン/職業系)</t>
        </is>
      </c>
      <c r="Q19" s="12" t="inlineStr">
        <is>
          <t>UFO English(Use of English/Focus on Language Skills/Options to Specialise);Cambridge FCE/CAE/CPE/Flexi;IELTS Preparation;EAP;TOEIC+(全豪唯一);General English Evening;English+Internship/Demipair/Volunteering;Job Ready;High School Preparation;Junior Holiday Program</t>
        </is>
      </c>
      <c r="R19" s="12" t="inlineStr">
        <is>
          <t>毎週月曜入学可(UFO/試験対策)</t>
        </is>
      </c>
      <c r="S19" s="12" t="inlineStr">
        <is>
          <t>UFOは週25コマ(UFO20+ワークショップ3+アクティビティ2)。午前8:00-12:30(UFO・Cambridge)/午後13:00-17:30(UFO・IELTS・EAP・TOEIC+)。毎週月曜にレベルチェック＋個別面談。母国語禁止(English Only)</t>
        </is>
      </c>
      <c r="T19" s="12" t="inlineStr">
        <is>
          <t>6レベル(Beginner〜Advanced;Level1-6)。技能別に異なるレベルで受講可(UFOの特徴)。入学時レベルテスト</t>
        </is>
      </c>
      <c r="U19" s="13" t="inlineStr">
        <is>
          <t>ホームステイ($270/週・朝夕2食;通学30-60分);学生アパート($139-509/週;Single/Twin/シェア/スタジオ);空港送迎は要確認</t>
        </is>
      </c>
      <c r="V19" s="13" t="inlineStr">
        <is>
          <t>CRICOS 02630J(Brisbane;wavenetwork)。公式フッターはCRICOS Provider 03883B(Langports Gold Coast Pty Ltd)=要確認;NEAS認定;ACPET(非公式)。TOEIC公式試験会場</t>
        </is>
      </c>
      <c r="W19" s="13" t="inlineStr">
        <is>
          <t>あり(EAP修了でTAFE・提携カレッジ/大学へ進学可)。提携校数は要確認</t>
        </is>
      </c>
      <c r="X19" s="13" t="inlineStr">
        <is>
          <t>要確認(公式・取得ページに返金規定の明記なし)</t>
        </is>
      </c>
      <c r="Y19" s="12" t="inlineStr">
        <is>
          <t>UFOプログラム(技能別レベル編成・全豪唯一);試験対策に強い(IELTS/Cambridge/TOEIC+);TOEIC+は全豪唯一;EducationStars豪No.1・ST Star受賞;母国語禁止(English Only);日本人スタッフ(Mizuho/Shun)在籍;King George Square駅隣;3キャンパス(Brisbane/Gold Coast/Sydney)転校無料;毎週月曜レベルチェック＋個別面談;Job Club;2004年設立・80カ国4万人超;14教室・1フロア集約</t>
        </is>
      </c>
      <c r="Z19" s="12" t="inlineStr">
        <is>
          <t>https://www.langports.com/brisbane-campus/ ; https://www.wavenetwork.com.au/school/details.html?id=bris21 ; https://studyin.jp/school/langports-brisbane</t>
        </is>
      </c>
      <c r="AA19" s="13" t="inlineStr">
        <is>
          <t>対象はブリスベン校。公式で立地(King George Square駅隣)・14教室・コース(UFO/Cambridge/IELTS/EAP/TOEIC+等)・受賞・2004年開校・80カ国4万人超を取得。料金は公式非掲載のためエージェント値(非公式):UFO週約$390(studyin・短期;長期逓減)、ホームステイ$270/週。入学金・教材費・成人最低年齢・返金規定は取得ページに明記なし(要確認)。日本人比率は約16〜24%(wavenetwork2024/11=24%/studyin=16%)、生徒約240〜300名・22〜24カ国、平均クラス16名。住所は現行Suncorp Plaza 343 Albert St(公式「King George Square駅隣」と整合;旧33 Herschel Stはstudyin/古い地図)。CRICOSは02630J(wavenetwork)と公式フッター03883B(Langports Gold Coast Pty Ltd)が併記=要確認。TOEIC+は全豪唯一。3キャンパス転校無料。提供のschoolwith(40010)はURL取得エラーで未取得。</t>
        </is>
      </c>
    </row>
    <row r="20" ht="200" customHeight="1">
      <c r="A20" s="12" t="inlineStr">
        <is>
          <t>Langports English Language College Gold Coast</t>
        </is>
      </c>
      <c r="B20" s="12" t="inlineStr">
        <is>
          <t>ラングポーツ ゴールドコースト校</t>
        </is>
      </c>
      <c r="C20" s="12" t="inlineStr">
        <is>
          <t>オーストラリア</t>
        </is>
      </c>
      <c r="D20" s="12" t="inlineStr">
        <is>
          <t>ゴールドコースト</t>
        </is>
      </c>
      <c r="E20" s="12" t="inlineStr">
        <is>
          <t>62 Appel Street, Surfers Paradise QLD 4217（サーファーズパラダイス駅(LRT)・ビーチ徒歩3分。2階建て1棟全体が校舎）</t>
        </is>
      </c>
      <c r="F20" s="12" t="inlineStr">
        <is>
          <t>AUD</t>
        </is>
      </c>
      <c r="G20" s="12" t="inlineStr">
        <is>
          <t>約390(非公式;UFO English。Langports共通・studyin基準。長期割引なし)</t>
        </is>
      </c>
      <c r="H20" s="12" t="inlineStr">
        <is>
          <t>約390(非公式;短期基準)。長期割引なし(ryugaku)。正価は要見積</t>
        </is>
      </c>
      <c r="I20" s="13" t="inlineStr">
        <is>
          <t>要確認(個別額の明記なし。ryugaku費用例は入学申請料込みの総額)</t>
        </is>
      </c>
      <c r="J20" s="13" t="inlineStr">
        <is>
          <t>要確認(個別額の明記なし)</t>
        </is>
      </c>
      <c r="K20" s="12" t="inlineStr">
        <is>
          <t>約19〜22%(非公式;wavenetwork2026/3=22%/ryugaku2025平均=19%。初級に日本人多め・中級以上は少なめ)</t>
        </is>
      </c>
      <c r="L20" s="12" t="inlineStr">
        <is>
          <t>約200〜250名(非公式;wavenetwork=200/ryugaku年間平均250)。男女比約40:60</t>
        </is>
      </c>
      <c r="M20" s="12" t="inlineStr">
        <is>
          <t>ブラジル25〜32%;日本19〜22%;スイス7〜19%;フランス10%;コロンビア6%;タイ5%(非公式;wavenetwork2026/3・ryugaku2025)。18カ国。南米・欧州多め</t>
        </is>
      </c>
      <c r="N20" s="13" t="inlineStr">
        <is>
          <t>要確認(成人コースの最低年齢は取得ページに明記なし)</t>
        </is>
      </c>
      <c r="O20" s="12" t="inlineStr">
        <is>
          <t>平均12〜15(非公式;wavenetwork15/ryugaku12)。UFOは科目別レベル編成</t>
        </is>
      </c>
      <c r="P20" s="12" t="inlineStr">
        <is>
          <t>一般英語;試験対策;進学準備(＋インターン/ボランティア/職業系)</t>
        </is>
      </c>
      <c r="Q20" s="12" t="inlineStr">
        <is>
          <t>UFO English(Use/Focus/Options);IELTS;EAP;Cambridge FCE/CAE/CPE(Closed)・Flexi;TOEIC+(全豪唯一);English+Internship/Volunteering;Job Ready Training Program(GCのみ);General English Evening/Part-time</t>
        </is>
      </c>
      <c r="R20" s="12" t="inlineStr">
        <is>
          <t>毎週月曜入学可(UFO/IELTS/Flexi)。TOEIC・IELTS・Cambridge Closedは固定開講日</t>
        </is>
      </c>
      <c r="S20" s="12" t="inlineStr">
        <is>
          <t>UFOは週25時間(U/F/O+ワークショップ)・1レッスン60分。毎週月曜レベルチェック＋個別面談。TOEIC/IELTSは5週・Cambridge Closed 10-12週・EAP 12週。母国語禁止(English Only)</t>
        </is>
      </c>
      <c r="T20" s="12" t="inlineStr">
        <is>
          <t>6〜7段階(Beginner〜Advanced)。技能別に異なるレベルで受講可(UFO)。入学時レベルテスト</t>
        </is>
      </c>
      <c r="U20" s="12" t="inlineStr">
        <is>
          <t>ホームステイ(食事付/滞在のみ選択可;通学約30分);民間寮/学生アパート;空港出迎えあり;貸出自転車・サーフボード</t>
        </is>
      </c>
      <c r="V20" s="13" t="inlineStr">
        <is>
          <t>CRICOS 02630J;NEAS認定;IALC加盟;ACPET;ELICOS;TOEIC公式試験会場(非公式;wavenetwork)。公式グループLangports Gold Coast Pty Ltd(CRICOS 03883B)=要確認</t>
        </is>
      </c>
      <c r="W20" s="12" t="inlineStr">
        <is>
          <t>あり(EAP修了で20校以上へIELTS免除進学。私立語学学校で唯一クイーンズランド大学Foundationへ条件付入学可)(非公式;wavenetwork/ryugaku)</t>
        </is>
      </c>
      <c r="X20" s="13" t="inlineStr">
        <is>
          <t>要確認(公式・取得ページに返金規定の明記なし)</t>
        </is>
      </c>
      <c r="Y20" s="12" t="inlineStr">
        <is>
          <t>ビーチ徒歩3分(サーファーズパラダイス中心);2階建て1棟まるごと校舎;UFOプログラム(技能別レベル編成);コース数ゴールドコーストNo.1;TOEIC+は全豪唯一;母国語禁止(English Only);日本人スタッフ在籍;半年に1回Langports Cup(GC対BNE);Job Ready Program(GC限定);2007年開校;ブリスベン/シドニー校へ転校可;クイーンズランド大学Foundation条件付入学(私立語学唯一)</t>
        </is>
      </c>
      <c r="Z20" s="12" t="inlineStr">
        <is>
          <t>https://www.langports.com/gold-coast-campus/ ; https://www.langports.com/student-apartment/gold-coast/ ; https://www.wavenetwork.com.au/school/details.html?id=elc199 ; https://www.ryugaku.co.jp/school_search/school.php?SC=AZQL560</t>
        </is>
      </c>
      <c r="AA20" s="13" t="inlineStr">
        <is>
          <t>対象はゴールドコースト校(62 Appel St, Surfers Paradise;ビーチ徒歩3分)。ブランド共通情報(UFO・受賞・母国語禁止・3キャンパス転校)はブリスベン校と同じ。料金は公式非掲載;UFO授業料はLangports共通で週約$390(studyin Brisbane基準・長期割引なし)。ryugaku費用例は入学金/教材費/滞在/空港込みの総額(例:UFO24週$21,492・IELTS5週$5,170・EAP12週$11,316)で授業料単体ではない。入学金・教材費・成人最低年齢・返金規定は取得ページに個別明記なし(要確認)。日本人比率は約19〜22%(初級多め・中級以上少なめ)、生徒約200〜250名・18カ国、平均クラス12〜15名。2007年開校(会社設立2004)。CRICOS 02630J(公式グループLangports Gold Coast Pty Ltdは03883B併記=要確認)。Job Ready ProgramとLangports CupはGC特色。提供のschoolwith(40015)はURL取得エラーで未取得。</t>
        </is>
      </c>
    </row>
    <row r="21" ht="200" customHeight="1">
      <c r="A21" s="12" t="inlineStr">
        <is>
          <t>BROWNS English Language School Gold Coast</t>
        </is>
      </c>
      <c r="B21" s="12" t="inlineStr">
        <is>
          <t>ブラウンズ イングリッシュ ランゲージ スクール ゴールドコースト校</t>
        </is>
      </c>
      <c r="C21" s="12" t="inlineStr">
        <is>
          <t>オーストラリア</t>
        </is>
      </c>
      <c r="D21" s="12" t="inlineStr">
        <is>
          <t>ゴールドコースト</t>
        </is>
      </c>
      <c r="E21" s="12" t="inlineStr">
        <is>
          <t>5 Hicks Street, Southport QLD 4215（トラムSouthport駅徒歩5分。Southportの学生街）</t>
        </is>
      </c>
      <c r="F21" s="12" t="inlineStr">
        <is>
          <t>AUD</t>
        </is>
      </c>
      <c r="G21" s="12" t="inlineStr">
        <is>
          <t>450(非公式;wavenetwork標準料金・IGE 37-70週。キャンペーン時は更に割引)</t>
        </is>
      </c>
      <c r="H21" s="12" t="inlineStr">
        <is>
          <t>550(非公式;wavenetwork標準料金・IGE 1-4週。5-24週は$525→$480)</t>
        </is>
      </c>
      <c r="I21" s="13" t="inlineStr">
        <is>
          <t>別途・要確認(BROWNS共通で約$270前後。courses表に個別記載なし)</t>
        </is>
      </c>
      <c r="J21" s="12" t="inlineStr">
        <is>
          <t>195(1-8週)〜450(25週〜)(非公式;wavenetwork)</t>
        </is>
      </c>
      <c r="K21" s="12" t="inlineStr">
        <is>
          <t>約20%(非公式;wavenetwork。1〜2割)</t>
        </is>
      </c>
      <c r="L21" s="12" t="inlineStr">
        <is>
          <t>約160名(非公式;wavenetwork。男女比48:52)</t>
        </is>
      </c>
      <c r="M21" s="12" t="inlineStr">
        <is>
          <t>南米多め(ブラジル・コロンビア);ヨーロッパ(イタリア・スイス・スペイン・独・仏・チェコ);アジア(台湾・韓国)・サウジ(非公式;wavenetwork)</t>
        </is>
      </c>
      <c r="N21" s="12" t="inlineStr">
        <is>
          <t>16歳以上(BROWNS成人コース基準)。GC個別の最低年齢の明記なし</t>
        </is>
      </c>
      <c r="O21" s="12" t="inlineStr">
        <is>
          <t>平均15/最大18(非公式;wavenetwork平均15・BROWNS共通最大18)。16クラス/4レベル</t>
        </is>
      </c>
      <c r="P21" s="12" t="inlineStr">
        <is>
          <t>一般英語;試験対策;進学準備(＋Barista/アクティビティ英語)</t>
        </is>
      </c>
      <c r="Q21" s="12" t="inlineStr">
        <is>
          <t>Intensive General English(IGE);Advanced English Academic Practice(AEAP);IELTS Exam Preparation;Barista@BROWNS;English+Surfing/Yoga/Golf/Tennis/Scuba(PADI);Hotel/Resort Internship;GE Part-time。GCはアクティビティ系英語が豊富</t>
        </is>
      </c>
      <c r="R21" s="12" t="inlineStr">
        <is>
          <t>毎週入学可(IGE/IELTS=毎週月曜)/固定開講(AEAP・Barista)</t>
        </is>
      </c>
      <c r="S21" s="12" t="inlineStr">
        <is>
          <t>週25時間(授業20+Accelerate5)。Core Class+Active8(8技能)+Accelerate。タイムテーブルA(早朝)/B(昼)。各レベル約10週。母国語禁止(母国語3回で1日停学)</t>
        </is>
      </c>
      <c r="T21" s="12" t="inlineStr">
        <is>
          <t>4〜6レベル(Beginner〜Advanced;wavenetworkは4レベル表記/BROWNS全体は6レベル)。入学時レベルテスト(BOPT)</t>
        </is>
      </c>
      <c r="U21" s="12" t="inlineStr">
        <is>
          <t>ホームステイ(自社運営・ハーフボード;手配$300+週$390);学生寮(自社運営・アパート/一軒家;週$290-500+bond$430+清掃$180);空港送迎(GC$180/BNE$245)</t>
        </is>
      </c>
      <c r="V21" s="12" t="inlineStr">
        <is>
          <t>CRICOS Provider 02663M(BROWNS共通);RTO 31998(Barista);English Australia加盟;NEAS認定(非公式;wavenetwork)</t>
        </is>
      </c>
      <c r="W21" s="12" t="inlineStr">
        <is>
          <t>あり(AEAP進学準備;140+提携。BROWNS共通)(公式ブローシャー)</t>
        </is>
      </c>
      <c r="X21" s="13" t="inlineStr">
        <is>
          <t>要確認(取得ページに返金規定の明記なし)。※IELTS/Cambridgeスコア保証はBROWNS共通</t>
        </is>
      </c>
      <c r="Y21" s="12" t="inlineStr">
        <is>
          <t>BROWNS発祥の校(2003年開校);Southportの学生街;自社運営の学生寮あり(GCでは希少);アクティビティ英語が豊富(サーフィン/ヨガ/ゴルフ/テニス/ダイビング);独自メソッドActive8/Passport/Accelerate;母国語禁止(English Only);日本人スタッフ在籍;中庭でBBQ;100%豪資本;3キャンパス(GC/Brisbane/Melbourne)間転校可</t>
        </is>
      </c>
      <c r="Z21" s="12" t="inlineStr">
        <is>
          <t>https://brownsenglish.edu.au/ ; https://www.wavenetwork.com.au/school/courses.html?id=gc14 ; https://www.wavenetwork.com.au/school/details.html?id=gc14</t>
        </is>
      </c>
      <c r="AA21" s="13" t="inlineStr">
        <is>
          <t>対象はゴールドコースト校(5 Hicks St, Southport;BROWNS発祥・2003年開校)。ブランド共通情報(Active8/Passport/Accelerate・母国語禁止・進学140+)はMelbourne/Brisbane校と同じ。料金は公式非掲載;wavenetworkの標準料金表を採用(IGE週$450〜550・期間逓減、教材費$195〜450)。※Melbourne/Brisbane行はキャンペーン価格($360〜410)を記載しており、こちらは標準価格。入学金は個別記載なし(BROWNS共通で約$270前後・要確認)。日本人比率20%・生徒約160名・平均クラス15はエージェント値(公式未確認)。自社運営の学生寮とアクティビティ英語(サーフィン等)がGC特色。CRICOS 02663M(wavenetworkは0表示)/RTO 31998/EA加盟/NEAS。提供のdeow.jp・tabiken-ryugakuは今回未取得。既存のBROWNS Melbourne(16行目)・Brisbane(17行目)とは別キャンパス。</t>
        </is>
      </c>
    </row>
    <row r="22" ht="210" customHeight="1">
      <c r="A22" s="12" t="inlineStr">
        <is>
          <t>Pacific English Study (PES)</t>
        </is>
      </c>
      <c r="B22" s="12" t="inlineStr">
        <is>
          <t>パシフィック・イングリッシュ・スタディ</t>
        </is>
      </c>
      <c r="C22" s="12" t="inlineStr">
        <is>
          <t>オーストラリア</t>
        </is>
      </c>
      <c r="D22" s="12" t="inlineStr">
        <is>
          <t>ゴールドコースト</t>
        </is>
      </c>
      <c r="E22" s="12" t="inlineStr">
        <is>
          <t>Level 1, 17 Orchid Avenue, Surfers Paradise, Gold Coast QLD 4217（トラムCavill Avenue駅徒歩4分・ビーチ徒歩5分）</t>
        </is>
      </c>
      <c r="F22" s="12" t="inlineStr">
        <is>
          <t>AUD</t>
        </is>
      </c>
      <c r="G22" s="13" t="inlineStr">
        <is>
          <t>要確認(公式Feesは"Contact us"で非公開。smaryuのスマ留はJPYパッケージ総額で授業料単体不明)</t>
        </is>
      </c>
      <c r="H22" s="13" t="inlineStr">
        <is>
          <t>要確認(同上・公式非公開)</t>
        </is>
      </c>
      <c r="I22" s="12" t="inlineStr">
        <is>
          <t>290(公式2026 Enrolment Fee。Re-Enrolmentは$0)</t>
        </is>
      </c>
      <c r="J22" s="12" t="inlineStr">
        <is>
          <t>15/週(最低$80(一般英語)・最大$450)(公式2026)</t>
        </is>
      </c>
      <c r="K22" s="12" t="inlineStr">
        <is>
          <t>約6〜20%(非公式;出所差。tabiken=6〜12%/smaryu=約20%。南米・欧州中心で低めとされる)</t>
        </is>
      </c>
      <c r="L22" s="13" t="inlineStr">
        <is>
          <t>出所差:小規模(smaryu)/600〜700名(tabiken)=要確認。公式はboutique(少人数)と表現</t>
        </is>
      </c>
      <c r="M22" s="12" t="inlineStr">
        <is>
          <t>コロンビア・ブラジル・メキシコ(南米);スペイン・イタリア・チェコ・スロバキア・フランス(欧州);韓国・タイ・インド(非公式;smaryu/tabiken)。南米・欧州が約70%(smaryu)</t>
        </is>
      </c>
      <c r="N22" s="13" t="inlineStr">
        <is>
          <t>16〜18歳以上(出所差;tabiken=16歳以上/smaryu=18歳から)。要確認</t>
        </is>
      </c>
      <c r="O22" s="12" t="inlineStr">
        <is>
          <t>平均18(公式ブローシャー)/エージェントは12〜14(tabiken)=差異あり。少人数制との評</t>
        </is>
      </c>
      <c r="P22" s="12" t="inlineStr">
        <is>
          <t>一般英語;試験対策(＋サーフィン等アクティビティ英語)</t>
        </is>
      </c>
      <c r="Q22" s="12" t="inlineStr">
        <is>
          <t>General English(Day/Evening);General English Condensed(週2.5日);IELTS Exam Preparation;Cambridge B2 First(FCE);Cambridge C1 Advanced(CAE);Pearson Test(PTE) Preparation;General English+Surfing;Junior Program;Study Tour</t>
        </is>
      </c>
      <c r="R22" s="12" t="inlineStr">
        <is>
          <t>毎週月曜入学可(祝日除く)</t>
        </is>
      </c>
      <c r="S22" s="12" t="inlineStr">
        <is>
          <t>GE週20時間。午前(月-木8:30-14:30)/夜間(月-木16:30-21:30)/Condensed週2.5日(月火7:40-16:30・水午前/午後)。Cambridge/IELTS/PTEは指定時間割。母国語禁止(English Only)。毎週レベルチェック</t>
        </is>
      </c>
      <c r="T22" s="12" t="inlineStr">
        <is>
          <t>6レベル(A1 Starter/A2 Elementary/B1 Pre-Int/B1+ Intermediate/B2 Upper-Int/C1 Advanced)(公式ブローシャー)。Condensedは5レベル</t>
        </is>
      </c>
      <c r="U22" s="12" t="inlineStr">
        <is>
          <t>ホームステイ(手配$400・再手配$200;平日2食/週末3食;$430/週・追加$72/泊・最低4週);シェアハウス(スマ留レジデンス);空港送迎(GC$180/BNE→GC$280;ホームステイ利用時は送迎必須)(公式Fees)</t>
        </is>
      </c>
      <c r="V22" s="13" t="inlineStr">
        <is>
          <t>CRICOS 03215E(Pacific Language School Pty Ltd)(公式)。NEAS/EA等の加盟は取得ページに記載なし・要確認</t>
        </is>
      </c>
      <c r="W22" s="13" t="inlineStr">
        <is>
          <t>あり(Student Hubにpathwaysあり;Cambridge/IELTSで進学要件)。提携詳細は要確認</t>
        </is>
      </c>
      <c r="X22" s="13" t="inlineStr">
        <is>
          <t>Cancellation and Refund Policyあり(キャンセル料$500・専用フォーム;公式Feesに明記)。詳細規定は要確認</t>
        </is>
      </c>
      <c r="Y22" s="12" t="inlineStr">
        <is>
          <t>サーファーズパラダイス中心・ビーチ徒歩1〜5分;boutique(少人数)校;英語+サーフィンコース;Cambridge University Press &amp; Assessmentプラットフォーム;母国語禁止(English Only);日本人スタッフ在籍;無料Trial Lesson/Speaking Club(火木)/Job Club;アクティビティ充実(Q1 Skypoint/Currumbin/ホエールウォッチング);夜間・Condensed(週2.5日)コースあり;単一キャンパス</t>
        </is>
      </c>
      <c r="Z22" s="12" t="inlineStr">
        <is>
          <t>https://pacificenglishschool.com/ ; https://pacificenglishschool.com/courses/ ; https://pacificenglishschool.com/fees/ ; https://smaryu.com/country/au/school/3058/ ; https://tabiken-ryugaku.co.jp/au/school/pacific-goldcoast/</t>
        </is>
      </c>
      <c r="AA22" s="13" t="inlineStr">
        <is>
          <t>対象はゴールドコースト単一校(Level 1, 17 Orchid Ave, Surfers Paradise)。公式Feesページで入学金$290・教材費$15/週(最低$80・最大$450)・キャンセル$500・ホームステイ$430/週・CRICOS 03215Eを取得(AUD・2026)。ただし授業料は公式"Contact us"で非公開のため週授業料は要確認(smaryuのスマ留はJPYパッケージ総額)。出所間の相違が多い:設立2008年(tabiken)/2018年(smaryu)、生徒数 小規模(smaryu)/600〜700名(tabiken)、日本人比率6〜12%(tabiken)/約20%(smaryu)、平均クラス 公式18/エージェント12〜14、最低年齢16(tabiken)/18(smaryu)=いずれも要確認。NEAS/EA等の認定は取得ページに記載なし。ryugaku-auはボット拒否で未取得。運営Pacific Language School Pty Ltd。</t>
        </is>
      </c>
    </row>
    <row r="23" ht="200" customHeight="1">
      <c r="A23" s="12" t="inlineStr">
        <is>
          <t>OHC English (Oxford House College) Gold Coast</t>
        </is>
      </c>
      <c r="B23" s="12" t="inlineStr">
        <is>
          <t>OHC ゴールドコースト校</t>
        </is>
      </c>
      <c r="C23" s="12" t="inlineStr">
        <is>
          <t>オーストラリア</t>
        </is>
      </c>
      <c r="D23" s="12" t="inlineStr">
        <is>
          <t>ゴールドコースト</t>
        </is>
      </c>
      <c r="E23" s="12" t="inlineStr">
        <is>
          <t>Level 2, Circle on Cavill, 3184 Surfers Paradise Blvd, Surfers Paradise QLD 4217（ビーチ徒歩5分。※旧所在地はBroadbeach/Oasis）</t>
        </is>
      </c>
      <c r="F23" s="12" t="inlineStr">
        <is>
          <t>AUD</t>
        </is>
      </c>
      <c r="G23" s="13" t="inlineStr">
        <is>
          <t>335(非公式;languagecourse Sydney基準・GE Core15レッスン。OHC共通・GC個別は要確認)。schoolwith2026はOHC Core 39,443円〜/週(JPY・25%OFFキャンペーン適用)</t>
        </is>
      </c>
      <c r="H23" s="12" t="inlineStr">
        <is>
          <t>425(非公式;languagecourse Sydney基準・GE Plus20レッスン。OHC共通)。schoolwith2026はOHC Plus 50,040円〜/週(JPY・25%OFF)。公式2026 Price List(SharePoint PDF)は未取得</t>
        </is>
      </c>
      <c r="I23" s="12" t="inlineStr">
        <is>
          <t>250(学生ビザ)/100(観光・WHビザ)(非公式;OHC共通・languagecourse)</t>
        </is>
      </c>
      <c r="J23" s="13" t="inlineStr">
        <is>
          <t>130(1-10週)/220/260/300(非公式;OHC共通・languagecourse Sydney。GC個別は要確認)</t>
        </is>
      </c>
      <c r="K23" s="13" t="inlineStr">
        <is>
          <t>要確認(具体的な%の記載なし。schoolwith「国籍の偏りが少ない」・生徒人数少なめ、母国語禁止・校長Bailey日本語対応)</t>
        </is>
      </c>
      <c r="L23" s="12" t="inlineStr">
        <is>
          <t>約80名(非公式;iss-ryugakulife。小規模)</t>
        </is>
      </c>
      <c r="M23" s="13" t="inlineStr">
        <is>
          <t>要確認(GC個別の国籍内訳の記載なし。schoolwith/ryugaku-au「世界中から集まる/国籍の偏りが少ない」との定性表現のみ)</t>
        </is>
      </c>
      <c r="N23" s="12" t="inlineStr">
        <is>
          <t>16歳以上(公式GCコース・iss一致)</t>
        </is>
      </c>
      <c r="O23" s="13" t="inlineStr">
        <is>
          <t>OHC共通で最大16/平均12(非公式;languagecourse Sydney)。GC個別は要確認。13教室</t>
        </is>
      </c>
      <c r="P23" s="12" t="inlineStr">
        <is>
          <t>一般英語;試験対策;進学準備</t>
        </is>
      </c>
      <c r="Q23" s="12" t="inlineStr">
        <is>
          <t>OHC Core(General English 15レッスン);OHC Plus(General English+ 20レッスン);One-to-One;IELTS Exam Preparation;EAP;Cambridge/CELTA;English Study Tours。GC開講はOHC Core/Plus/One-to-Oneが中心</t>
        </is>
      </c>
      <c r="R23" s="12" t="inlineStr">
        <is>
          <t>毎週月曜入学可</t>
        </is>
      </c>
      <c r="S23" s="12" t="inlineStr">
        <is>
          <t>OHC Core 9:00-12:30(15レッスン)/OHC Plus 9:00-13:30(20レッスン);1レッスン60分。母国語禁止(English Only)徹底。スピーキング中心</t>
        </is>
      </c>
      <c r="T23" s="13" t="inlineStr">
        <is>
          <t>A2(初級)〜C2(OHC共通;完全初心者クラスは要確認)。入学時レベルテスト</t>
        </is>
      </c>
      <c r="U23" s="13" t="inlineStr">
        <is>
          <t>ホームステイ(iss);OHC手配。空港送迎等は要確認</t>
        </is>
      </c>
      <c r="V23" s="13" t="inlineStr">
        <is>
          <t>CRICOS 01647G(Holmes Colleges Queensland Pty Ltd);ELICOS;IALC加盟(OHC共通)。NEAS等は要確認</t>
        </is>
      </c>
      <c r="W23" s="12" t="inlineStr">
        <is>
          <t>あり(Holmes Group大学/カレッジへ進学;VCE/HSC・Diploma・Master等)(公式Fees)</t>
        </is>
      </c>
      <c r="X23" s="13" t="inlineStr">
        <is>
          <t>OHC Australia Policies &amp; Reports/Terms &amp; Conditions(PDF)あり;詳細要確認</t>
        </is>
      </c>
      <c r="Y23" s="12" t="inlineStr">
        <is>
          <t>サーファーズパラダイス中心(Circle on Cavill);ビーチ徒歩5分;13教室・バルコニー;小規模(約80名)・アットホーム;母国語禁止(English Only)徹底;スピーキング中心;校長Bailey日本語対応(非公式);豪州5キャンパス(Sydney/Melbourne/Brisbane/Gold Coast/Cairns)転校可;Holmes Group進学パスウェイ;専門学校Holmes College併設グループ</t>
        </is>
      </c>
      <c r="Z23" s="12" t="inlineStr">
        <is>
          <t>https://www.ohcenglish.com/cities/gold-coast ; https://www.ohcenglish.com/country/australia/fees-31 ; 公式2026 Price List(SharePoint PDF・未取得) ; https://www.iss-ryugakulife.com/school/ohc-gold-coast.html ; https://ryugaku-au.net/school/oxford-house-college/(スクショ) ; https://schoolwith.me/schools/40016(スクショ) ; (料金参考)https://www.languagecourse.net/discount-ryugaku/gakko-ohc-english-sydney.php3</t>
        </is>
      </c>
      <c r="AA23" s="13" t="inlineStr">
        <is>
          <t>対象はゴールドコースト校(現行所在地=Level 2, Circle on Cavill, 3184 Surfers Paradise Blvd, Surfers Paradise;ryugaku-au・schoolwithのスクショでも現行住所を確認)。issは旧所在地Broadbeach/Oasis掲載=移転済み。運営Holmes Colleges Queensland Pty Ltd/CRICOS 01647G。料金は公式2026 Price ListがSharePoint PDFで未取得のため、schoolwith2026のJPY価格(Core 39,443円〜/Plus 50,040円〜・25%OFFキャンペーン)とOHC共通の目安(languagecourse Sydney:GE Core$335/Plus$425・入学金$250・教材費$130〜300)を非公式で併記=GC個別のAUD正価は要確認。日本人比率・国籍・平均クラスの具体数はいずれの取得資料にも数値記載なし(要確認;schoolwithは生徒少なめ・国籍偏り少ないと定性記載)。生徒約80名(iss)・最低16歳・母国語禁止・校長Bailey日本語対応。OHC AUコース:General English/+・IELTS・EAP・Cambridge/CELTA・Study Tours。既存のOHC Sydney(12行目)とは別キャンパス。</t>
        </is>
      </c>
    </row>
    <row r="24" ht="200" customHeight="1">
      <c r="A24" s="12" t="inlineStr">
        <is>
          <t>Greenwich College Gold Coast (Southport campus)</t>
        </is>
      </c>
      <c r="B24" s="12" t="inlineStr">
        <is>
          <t>グリニッジ カレッジ ゴールドコースト校</t>
        </is>
      </c>
      <c r="C24" s="12" t="inlineStr">
        <is>
          <t>オーストラリア</t>
        </is>
      </c>
      <c r="D24" s="12" t="inlineStr">
        <is>
          <t>ゴールドコースト</t>
        </is>
      </c>
      <c r="E24" s="12" t="inlineStr">
        <is>
          <t>56 Nerang Street, Southport, Gold Coast QLD 4215（Nerang St tram駅徒歩4分・Australia Fair近く。※tabikenは旧/異なる6-8 Scarborough St表記）</t>
        </is>
      </c>
      <c r="F24" s="12" t="inlineStr">
        <is>
          <t>AUD</t>
        </is>
      </c>
      <c r="G24" s="13" t="inlineStr">
        <is>
          <t>夜間はGreenwich共通で約270。schoolwith2026: General English Evening 20h 31,790円〜/週(JPY)。GC個別AUD正価は要確認(代理店ポータル)</t>
        </is>
      </c>
      <c r="H24" s="13" t="inlineStr">
        <is>
          <t>昼はGreenwich共通で約340〜435。schoolwith2026: GE20h 学生ビザ36,855円〜/非学生36,322円〜・IELTS20h同(JPY)。GC個別AUD正価は要確認</t>
        </is>
      </c>
      <c r="I24" s="13" t="inlineStr">
        <is>
          <t>要確認(GC個別記載なし。Greenwich共通で$240前後・非公式)</t>
        </is>
      </c>
      <c r="J24" s="13" t="inlineStr">
        <is>
          <t>要確認(GC個別記載なし。Greenwich共通で週$15前後・非公式)</t>
        </is>
      </c>
      <c r="K24" s="13" t="inlineStr">
        <is>
          <t>要確認(tabiken学校詳細に項目あるも数値未読。母国語禁止・新設小規模。Greenwich全体は約10%)</t>
        </is>
      </c>
      <c r="L24" s="12" t="inlineStr">
        <is>
          <t>約200名(非公式;tabiken)。2023年開校の新キャンパス</t>
        </is>
      </c>
      <c r="M24" s="12" t="inlineStr">
        <is>
          <t>ブラジル・コロンビア・チリ(南米);イタリア・スペイン(欧州);韓国・台湾(アジア)(非公式;tabiken)</t>
        </is>
      </c>
      <c r="N24" s="13" t="inlineStr">
        <is>
          <t>16歳以上(Greenwich成人コース基準)。GC個別の明記は要確認</t>
        </is>
      </c>
      <c r="O24" s="13" t="inlineStr">
        <is>
          <t>要確認(GC個別の平均人数の数値未確認。Greenwich共通で最大18)</t>
        </is>
      </c>
      <c r="P24" s="12" t="inlineStr">
        <is>
          <t>一般英語;試験対策(GCは一般英語・IELTS中心。Cambridgeは開講未定)</t>
        </is>
      </c>
      <c r="Q24" s="12" t="inlineStr">
        <is>
          <t>General English(Day/Evening);IELTS Exam Preparation。※Cambridge・EVS・Business等はGC開講未定(tabiken)。グループ全体はManagement/Hospitality/Health &amp; Care(VET)も</t>
        </is>
      </c>
      <c r="R24" s="12" t="inlineStr">
        <is>
          <t>毎週月曜入学可(GE/IELTS)</t>
        </is>
      </c>
      <c r="S24" s="12" t="inlineStr">
        <is>
          <t>コア20時間/週+無料選択クラス。開講8:30-21:15(昼/夜)。母国語禁止(English Only)。毎週レベルチェック(Greenwich共通)</t>
        </is>
      </c>
      <c r="T24" s="12" t="inlineStr">
        <is>
          <t>Beginner〜Advanced(Greenwich共通)。入学時Greenwich entry test</t>
        </is>
      </c>
      <c r="U24" s="13" t="inlineStr">
        <is>
          <t>ホームステイ手配等(Greenwich共通)。GC個別の滞在費は要確認</t>
        </is>
      </c>
      <c r="V24" s="12" t="inlineStr">
        <is>
          <t>CRICOS 02672K;RTO 91153(公式)。Greenwichはケンブリッジ/TOEFL試験センター(※GC校のCambridge講座は開講未定);ELICOS(非公式;tabiken)</t>
        </is>
      </c>
      <c r="W24" s="12" t="inlineStr">
        <is>
          <t>あり(Greenwich Pathways;NextEd Group;30+提携。Greenwich Higher Education/VET併設)(公式)</t>
        </is>
      </c>
      <c r="X24" s="13" t="inlineStr">
        <is>
          <t>公式Terms &amp; Conditions(v26.2・2026年2月)・Policies &amp; Formsあり;詳細要確認</t>
        </is>
      </c>
      <c r="Y24" s="12" t="inlineStr">
        <is>
          <t>NextEd Group傘下;2023年開校の新設・purpose-builtキャンパス;Southport(Australia Fair近く・tram4分);小規模(約200名);母国語禁止(English Only);無料選択クラス/Job Ready;専門コースマネージャー;6キャンパス(Sydney×2/Melbourne/Brisbane/Gold Coast/Perth/Adelaide)転校可;Cambridge/TOEFL試験センター(GC講座は未開講);ロコミ良好(schoolwith4.6)</t>
        </is>
      </c>
      <c r="Z24" s="12" t="inlineStr">
        <is>
          <t>https://www.greenwichcollege.edu.au/campus/goldcoast ; https://schoolwith.me/schools/40368(スクショ) ; https://tabiken-ryugaku.co.jp/au/school/greenwich-college-goldcoast/(スクショ)</t>
        </is>
      </c>
      <c r="AA24" s="13" t="inlineStr">
        <is>
          <t>対象はゴールドコースト校(公式現行住所=56 Nerang Street, Southport;tabikenは6-8 Scarborough Stと旧/異なる住所掲載だが公式の56 Nerang Stを採用)。2023年開校の新設・小規模(約200名)で、開講コースは一般英語(昼/夜)・IELTS中心、Cambridge・EVS・Business等は開講未定(tabiken)。ブランド共通(NextEd傘下・母国語禁止・進学30+・CRICOS 02672K/RTO 91153)はSydney校と同じ。料金は公式非掲載(代理店ポータル)のためschoolwith2026のJPY価格(GE20h 学生36,855円〜/夜31,790円〜)を非公式記載;GC個別のAUD授業料・入学金・教材費・平均クラス・日本人比率は数値未確認(要確認)。国籍は南米・欧州・アジア(tabiken)。既存のGreenwich Sydney(13行目)とは別キャンパス。</t>
        </is>
      </c>
    </row>
    <row r="25" ht="230" customHeight="1">
      <c r="A25" s="12" t="inlineStr">
        <is>
          <t>Milner International College of English</t>
        </is>
      </c>
      <c r="B25" s="12" t="inlineStr">
        <is>
          <t>ミルナー・インターナショナル・カレッジ・オブ・イングリッシュ</t>
        </is>
      </c>
      <c r="C25" s="12" t="inlineStr">
        <is>
          <t>オーストラリア</t>
        </is>
      </c>
      <c r="D25" s="12" t="inlineStr">
        <is>
          <t>パース</t>
        </is>
      </c>
      <c r="E25" s="12" t="inlineStr">
        <is>
          <t>379 Hay Street, Perth WA 6000（パース駅徒歩15分/無料CATバス9分・5階建てビル・スワンリバー望む）</t>
        </is>
      </c>
      <c r="F25" s="12" t="inlineStr">
        <is>
          <t>AUD</t>
        </is>
      </c>
      <c r="G25" s="12" t="inlineStr">
        <is>
          <t>320(非公式;wavenetwork2026・長期25-50週。公式GEページは料金非掲載)</t>
        </is>
      </c>
      <c r="H25" s="12" t="inlineStr">
        <is>
          <t>365(非公式;wavenetwork2026・短期17週)。CELTAは公式$3,900(GST・登録別)+登録$250</t>
        </is>
      </c>
      <c r="I25" s="12" t="inlineStr">
        <is>
          <t>295(非公式;wavenetwork2026)。CELTA登録料は$250(公式)</t>
        </is>
      </c>
      <c r="J25" s="12" t="inlineStr">
        <is>
          <t>期間別(17週$340/25週$500/50週$600)(非公式;wavenetwork2026)</t>
        </is>
      </c>
      <c r="K25" s="12" t="inlineStr">
        <is>
          <t>14%(非公式;wavenetwork。年間14〜25%)。公式About「どの国籍も20%を超えない」と整合</t>
        </is>
      </c>
      <c r="L25" s="12" t="inlineStr">
        <is>
          <t>約200名(非公式;wavenetwork。男女比50:50)</t>
        </is>
      </c>
      <c r="M25" s="12" t="inlineStr">
        <is>
          <t>公式About:ヨーロッパ40%・アジア40%・南米15%・中東5%(どの国籍も20%未満)。※wavenetwork週次スナップは南米50%・日本14%と差異</t>
        </is>
      </c>
      <c r="N25" s="13" t="inlineStr">
        <is>
          <t>要確認(最低年齢の明示なし)。18歳未満はホームステイ等で特別手配可(公式Accommodation)</t>
        </is>
      </c>
      <c r="O25" s="12" t="inlineStr">
        <is>
          <t>平均15(非公式;wavenetwork)。8クラス/6レベル。一般英語は午前・午後で別レベル受講可</t>
        </is>
      </c>
      <c r="P25" s="12" t="inlineStr">
        <is>
          <t>一般英語;試験対策;進学準備(＋TESOL教員養成)</t>
        </is>
      </c>
      <c r="Q25" s="12" t="inlineStr">
        <is>
          <t>General English(CRICOS 010219J;Day/Evening・Full/Part-time);IELTS Prep &amp; EAP=IEAP(098470D);Cambridge PET/FCE/CAE(074424G);CELTA(教員養成・Perth初);Pathway Programs;TESOL;Virtual Cambridge</t>
        </is>
      </c>
      <c r="R25" s="12" t="inlineStr">
        <is>
          <t>毎週月曜入学可(一般英語/IEAP)/Cambridgeは固定開講(開講条件あり)</t>
        </is>
      </c>
      <c r="S25" s="12" t="inlineStr">
        <is>
          <t>一般英語FT20時間/週(昼9:00-15:15/夜16:30-21:45);PTは昼12h/夜10h。毎週月曜開始・最短1週。IEAPは20h・4〜16週。Cambridge PET/FCE/CAEはFT月-木9:00-15:15・10〜12週。金曜休(週20時間は他校同等)</t>
        </is>
      </c>
      <c r="T25" s="12" t="inlineStr">
        <is>
          <t>6レベル(Beginner〜Advanced)。入学時テスト(文法/ライティング/リーディング)</t>
        </is>
      </c>
      <c r="U25" s="12" t="inlineStr">
        <is>
          <t>ホームステイ$375/週(+手配$400・placement fee$365);ハウスシェア$300/週(+$400);Odyssey Apartment$425/週(+bond$850);Campus Perth$294〜875/週(+$400);空港送迎$140(公式Accommodation)。18歳未満は特別手配</t>
        </is>
      </c>
      <c r="V25" s="12" t="inlineStr">
        <is>
          <t>CRICOS 00061J;連邦・州政府登録/認定(公式);English Australia加盟・NEAS認定・ACPET(wavenetwork);CELTAはCambridge認定(公式)</t>
        </is>
      </c>
      <c r="W25" s="12" t="inlineStr">
        <is>
          <t>あり(公式Pathways:TAFE International WA・Murdoch University・Curtin University・Stanley College・Southern Cross University・Engineering Institute of Technology・National Institute of Technology 等多数。英語+VET/高等教育のパッケージ)</t>
        </is>
      </c>
      <c r="X25" s="13" t="inlineStr">
        <is>
          <t>要確認(公式サイトはボット拒否・取得資料に返金規定の明記なし)</t>
        </is>
      </c>
      <c r="Y25" s="12" t="inlineStr">
        <is>
          <t>パース最古(1984年)・Milner家経営40年の老舗;単一キャンパス;一般英語は午前(文法系)/午後(会話系)で別レベル受講可;豪州唯一の都心自庭(ルーフガーデン200m2);校舎と同ビルに学生寮;無料self-access週10時間;カフェ(学生10%割引)・図書室・卓球;Perth交通割引・市内無料バス;CELTA発祥(Perth初);多数の進学提携;卒業証書は校長手渡し;日本人スタッフ不在;New Headway教材</t>
        </is>
      </c>
      <c r="Z25" s="12" t="inlineStr">
        <is>
          <t>https://www.milner.wa.edu.au/(スクショ) ; /about-milner/(スクショ) ; /english-courses/general-english/(スクショ) ; /english-courses/ielts-academic-english/(スクショ) ; /english-courses/cambridge/(スクショ) ; /english-courses/celta/(スクショ) ; /accommodation/(スクショ) ; /pathways-2/(スクショ) ; https://www.wavenetwork.com.au/school/details.html?id=per6 ; https://schoolwith.me/schools/40104(スクショ)</t>
        </is>
      </c>
      <c r="AA25" s="13" t="inlineStr">
        <is>
          <t>パース単一校(379 Hay Street・CRICOS 00061J)。今回は公式サイト各ページのスクショで公式確定:1984年Milner家設立の豪州最古の家族経営校、コースとCRICOS番号(GE 010219J/IEAP 098470D/Cambridge 074424G)、GE時間割(FT20h昼夜/PT)、CELTA($3,900+登録$250)、滞在費(ホームステイ$375/ハウスシェア$300/Odyssey$425/Campus Perth$294-875・手配$400・placement$365・空港$140)、多数の進学提携、ルーフガーデン等。国籍は公式Aboutで欧40/アジア40/南米15/中東5%・どの国籍も20%未満(wavenetwork週次は南米50/日本14%と差異)。GE授業料は公式非掲載のためwavenetwork(非公式)$320〜365を採用;入学金$295(wavenetwork)。日本人比率14%・生徒約200名・平均クラス15はwavenetwork。最低年齢の明示なし(18歳未満は特別手配可)。返金規定は取得資料に明記なし(要確認)。EA/NEAS/ACPETはwavenetwork。日本人スタッフ不在。</t>
        </is>
      </c>
    </row>
    <row r="26" ht="190" customHeight="1">
      <c r="A26" s="12" t="inlineStr">
        <is>
          <t>ILSC Language Schools Perth</t>
        </is>
      </c>
      <c r="B26" s="12" t="inlineStr">
        <is>
          <t>ILSC パース校</t>
        </is>
      </c>
      <c r="C26" s="12" t="inlineStr">
        <is>
          <t>オーストラリア</t>
        </is>
      </c>
      <c r="D26" s="12" t="inlineStr">
        <is>
          <t>パース</t>
        </is>
      </c>
      <c r="E26" s="12" t="inlineStr">
        <is>
          <t>150 St Georges Terrace, Perth WA 6000（King's Park徒歩10分・CBD中心・London Court隣接。Tel +61-8-6186-2400）</t>
        </is>
      </c>
      <c r="F26" s="12" t="inlineStr">
        <is>
          <t>AUD</t>
        </is>
      </c>
      <c r="G26" s="12" t="n">
        <v>380</v>
      </c>
      <c r="H26" s="12" t="n">
        <v>460</v>
      </c>
      <c r="I26" s="12" t="n">
        <v>250</v>
      </c>
      <c r="J26" s="12" t="inlineStr">
        <is>
          <t>60(1-4週)/15/週(5週〜;上限450)</t>
        </is>
      </c>
      <c r="K26" s="12" t="inlineStr">
        <is>
          <t>8%(非公式;wavenetwork2024/9)</t>
        </is>
      </c>
      <c r="L26" s="12" t="inlineStr">
        <is>
          <t>公式定員324名(最大収容)。全校約550名(非公式;wavenetwork。開校後拡大)</t>
        </is>
      </c>
      <c r="M26" s="12" t="inlineStr">
        <is>
          <t>南米(ブラジル以外)47%;ブラジル14%;その他アジア13%;ヨーロッパ9%;日本8%;韓国5%;中東4%(非公式;wavenetwork2024/9)</t>
        </is>
      </c>
      <c r="N26" s="12" t="inlineStr">
        <is>
          <t>16歳以上(公式)</t>
        </is>
      </c>
      <c r="O26" s="12" t="inlineStr">
        <is>
          <t>最大18(公式)/平均15(非公式;wavenetwork)。10レベル・4週ごと選択</t>
        </is>
      </c>
      <c r="P26" s="12" t="inlineStr">
        <is>
          <t>一般英語;試験対策;ビジネス;進学準備</t>
        </is>
      </c>
      <c r="Q26" s="12" t="inlineStr">
        <is>
          <t>General English(0101688);University Pathway;Academic &amp; Test Preparation;EAP(0101685);IELTS Mastery(0101686);Cambridge Mastery(0101687);Café Work Skills;Tutoring</t>
        </is>
      </c>
      <c r="R26" s="12" t="inlineStr">
        <is>
          <t>毎週月曜入学可(推奨はセッション最終週を避ける)</t>
        </is>
      </c>
      <c r="S26" s="12" t="inlineStr">
        <is>
          <t>フルタイム20時間/週(午前/夜。※パースは現在午後クラス休講)。4週ごとCore+Skills選択・レベルチェック。母国語禁止(English Only)</t>
        </is>
      </c>
      <c r="T26" s="12" t="inlineStr">
        <is>
          <t>初級〜上級(10レベル;B1-B2〜A1-A2)。開始時プレースメントテスト(文法/スピーキング/リーディング)</t>
        </is>
      </c>
      <c r="U26" s="12" t="inlineStr">
        <is>
          <t>ホームステイ(ILSC手配);Campus Perth(学生レジデンス)。料金はILSC豪州共通(ホームステイ約$395/週・手配$370・空港$200)</t>
        </is>
      </c>
      <c r="V26" s="12" t="inlineStr">
        <is>
          <t>CRICOS 02137M;RTO 31564(ILSC (Brisbane) Pty Ltd);NEAS認定;English Australia会員(公式)</t>
        </is>
      </c>
      <c r="W26" s="12" t="inlineStr">
        <is>
          <t>あり(University Pathway;160校以上提携。Southern Cross University Perth・西オーストラリア州立TAFEへ英語力証明なしで進学可)(公式/wavenetwork)</t>
        </is>
      </c>
      <c r="X26" s="13" t="inlineStr">
        <is>
          <t>登録料$250・教材費は返金不可(ILSC共通price list)。全体の返金規定はPolicies参照(要確認)</t>
        </is>
      </c>
      <c r="Y26" s="12" t="inlineStr">
        <is>
          <t>2023年6月開校の新設・広々モダンキャンパス;Yogaルーム・屋外カフェ;King's Park徒歩10分・CBD中心(London Court隣接);Café Work Skills(バリスタ);母国語禁止(English Only);10レベル細分化;日本人スタッフ在籍;無料Job Club・メンタルヘルス・Sonder;学生ビザ週24時間就労可;ILSC Education Group(豪5都市);Southern Cross Univ Perth/TAFE WA提携</t>
        </is>
      </c>
      <c r="Z26" s="12" t="inlineStr">
        <is>
          <t>https://www.ilsc.com/language-schools/destinations/australia/city/perth ; 公式ブローシャー(ILSC Education Group・スクショ) ; https://www.wavenetwork.com.au/school/details.html?id=PER150 ; (参考)https://www.studyabroad.co.jp/australia/school/ilsc-parth ; https://tabiken-ryugaku.co.jp/au/school/ilsc-perth/</t>
        </is>
      </c>
      <c r="AA26" s="12" t="inlineStr">
        <is>
          <t>公式destinationページで住所・定員324・最大クラス18・最低16歳・教室17・認定・コース・CRICOSコードを取得(2023年6月開校)。料金はILSC豪州全国共通(Melbourne/Brisbaneと同一を確認済:授業料 午前$420-460/午後・夜$380、登録$250、教材$60/$15週;Perth版price-listは個別未取得)。日本人比率8%・全校約550名(公式定員324超=開校後拡大)・平均クラス15・国籍(南米61%/日本8%)はwavenetwork(2024/9・公式未確認)。パースは現在午後クラス休講。Southern Cross University Perth・TAFE WAへ英語力証明なし進学の提携。日本人スタッフ在籍。既存のILSC Sydney(6)/Melbourne(14)/Brisbane(18)とは別キャンパス。</t>
        </is>
      </c>
    </row>
    <row r="27">
      <c r="A27" s="14" t="inlineStr">
        <is>
          <t>Phoenix Academy</t>
        </is>
      </c>
      <c r="B27" s="14" t="inlineStr">
        <is>
          <t>フェニックス・アカデミー</t>
        </is>
      </c>
      <c r="C27" s="14" t="inlineStr">
        <is>
          <t>オーストラリア</t>
        </is>
      </c>
      <c r="D27" s="14" t="inlineStr">
        <is>
          <t>パース</t>
        </is>
      </c>
      <c r="E27" s="14" t="inlineStr">
        <is>
          <t>223 Vincent Street, West Perth WA 6005（West Perth/リーダヴィル境。パース国際空港から車約25分・リーダヴィル駅徒歩約18分・パースCBDからバス(402/403/404番)8〜15分）</t>
        </is>
      </c>
      <c r="F27" s="14" t="inlineStr">
        <is>
          <t>AUD</t>
        </is>
      </c>
      <c r="G27" s="14" t="n">
        <v>450</v>
      </c>
      <c r="H27" s="14" t="n">
        <v>450</v>
      </c>
      <c r="I27" s="14" t="inlineStr">
        <is>
          <t>260(英語プログラムEnrolment Fee・非返金。※Pathway/VETは$255)</t>
        </is>
      </c>
      <c r="J27" s="15" t="inlineStr">
        <is>
          <t>要確認(公式の英語料金表に教材費の個別記載なし。別途Academic Service Fee $425掲載。wavenetworkは教材費A$0(非公式))</t>
        </is>
      </c>
      <c r="K27" s="14" t="inlineStr">
        <is>
          <t>4%(非公式;wavenetwork。公式Aboutは「日本人はとても少ない」との定性表現のみで数値なし)</t>
        </is>
      </c>
      <c r="L27" s="14" t="inlineStr">
        <is>
          <t>300名(非公式;wavenetwork。男女比50:50)。公式に生徒総数の記載なし</t>
        </is>
      </c>
      <c r="M27" s="14" t="inlineStr">
        <is>
          <t>中国30%;コロンビア25%;ベトナム7%;ブラジル6%;日本4%;フランス4%;インド4%;韓国4%;その他16%(非公式;wavenetwork。時期変動)</t>
        </is>
      </c>
      <c r="N27" s="15" t="inlineStr">
        <is>
          <t>要確認(公式に成人コースの最低年齢の明記なし。Junior/Young Learners/High School Prep等で18歳未満も受入)</t>
        </is>
      </c>
      <c r="O27" s="14" t="inlineStr">
        <is>
          <t>平均14(公式;GEC/AEP)。9クラス・6レベル(非公式;wavenetwork)</t>
        </is>
      </c>
      <c r="P27" s="14" t="inlineStr">
        <is>
          <t>一般英語;試験対策;ビジネス;進学準備</t>
        </is>
      </c>
      <c r="Q27" s="14" t="inlineStr">
        <is>
          <t>General English Course (GEC);Academic English Program (AEP)・University Preparation;English for Business Purposes;One to One – Business Communications;Global Business Skills;Adult Study Tours;Cambridge CAE Preparation(非公式;wavenetwork。FCEは現在開講無し);Young Learners/High School Preparation(Junior)</t>
        </is>
      </c>
      <c r="R27" s="14" t="inlineStr">
        <is>
          <t>毎週入学可</t>
        </is>
      </c>
      <c r="S27" s="14" t="inlineStr">
        <is>
          <t>GEC=毎週月曜・週20時間(月-木は対面3セッション+Special Focus、金曜はLMS自習);AEP=毎週月曜・週20時間・6週モジュール(6-36週);English for Business Purposes=6週・週23時間;One-to-One=$165/時</t>
        </is>
      </c>
      <c r="T27" s="14" t="inlineStr">
        <is>
          <t>GEC=Beginner〜Expert(CEFR A1〜C2+の12段階);AEP=CEFR B1+(IELTS5.0相当)以上;English for Business=CEFR B1+。入学時プレイスメントテスト(文法/スピーキング/ライティング/リスニング/リーディング)</t>
        </is>
      </c>
      <c r="U27" s="14" t="inlineStr">
        <is>
          <t>ホームステイ(Australian Homestay Network(AHN)手配);学生寮(オンキャンパス系 Beatty Lodge・CBDから3km/バス10分・シングル/ツイン/トリプル/ドーム)</t>
        </is>
      </c>
      <c r="V27" s="14" t="inlineStr">
        <is>
          <t>CRICOS 00066D;RTO 50030;English Australia(公式ロゴ掲示);NEAS;IALC;FIYTO(非公式;wavenetwork)</t>
        </is>
      </c>
      <c r="W27" s="14" t="inlineStr">
        <is>
          <t>あり(Academic English修了でIELTS不要の直接進学:Curtin/Murdoch/ECU/The University of Notre Dame/Sheridan/TAFE International WA。Phoenix Link2Uni進学サポート)</t>
        </is>
      </c>
      <c r="X27" s="14" t="inlineStr">
        <is>
          <t>入学金(Enrolment Fee)は非返金(公式料金表明記)。全体の返金規定はConditions of Enrolmentページ参照(要確認)</t>
        </is>
      </c>
      <c r="Y27" s="14" t="inlineStr">
        <is>
          <t>緑豊かなガーデンキャンパス;1989年設立(37年の歴史);豪州人による家族経営;Special Focus Classes;オンラインLMS;オンキャンパス学生寮Beatty Lodge;IELTS不要の大学直接進学;Link2Uni進学サポート;CELTA/TESOL教員養成;日本人スタッフ不在(非公式);カード払い可</t>
        </is>
      </c>
      <c r="Z27" s="14" t="inlineStr">
        <is>
          <t>https://www.phoenix.edu.au/ ; https://www.phoenix.edu.au/courses/general-english ; https://www.phoenix.edu.au/courses/academic-english-university-preparation ; https://www.phoenix.edu.au/courses/business-english ; https://www.phoenix.edu.au/services-facilities/accommodation ; 公式2026料金表スクショ(English Programs / Pathway Programs / Additional Information) ; https://www.wavenetwork.com.au/school/details.html?id=per5 (非公式) ; https://www.studyabroad.co.jp/online/taikendan/1409/ (非公式;今回未取得)</t>
        </is>
      </c>
      <c r="AA27" s="14" t="inlineStr">
        <is>
          <t>運営法人 Keyseq Pty Ltd t/a Phoenix Academy(ABN 45 009 405 298)。パース単一キャンパス(223 Vincent St, West Perth)。公式(トップ/GEC/AEP/Business Englishページ+滞在ページ+2026公式料金表スクショ)で住所・CRICOS 00066D・RTO 50030・1989年設立・コース内容・時間割・レベル・平均クラス14・料金($450/週・One-to-One $165/時・Enrolment $260・Academic Service Fee $425・IPEPT英語テスト)・滞在(AHNホームステイ/Beatty Lodge)・大学直接進学を取得(AUD・2026適用)。週授業料は公式英語料金表で$450/週の定額(Mon-Thu 20時間の集団クラス;GEC/AEP共通)のため最低・最高とも450。One-to-Oneは$165/時で別建て。wavenetworkの2026キャンペーン週$340は非公式割引で不採用。教材費は英語料金表に個別記載なし(別途Academic Service Fee $425;wavenetworkは$0(非公式))=要確認。日本人比率4%・生徒総数300名・国籍構成・9クラス6レベルはwavenetwork(非公式・公式未確認)。成人コースの最低年齢は公式非掲載(要確認;Junior/High School Prep等で18歳未満受入あり)。試験対策(Cambridge)はwavenetwork掲載でFCEは現在開講無し・CAEは開講、公式の成人英語メニューには常設掲載なし。認定はCRICOS/RTO/English Australiaが公式、NEAS/IALC/FIYTOはwavenetwork(非公式)。日本人スタッフ不在(wavenetwork)。studyabroad体験談URLは今回未取得(必要なら追加確認可)。</t>
        </is>
      </c>
    </row>
    <row r="28">
      <c r="A28" s="14" t="inlineStr">
        <is>
          <t>Greenwich College Perth (Bayswater campus)</t>
        </is>
      </c>
      <c r="B28" s="14" t="inlineStr">
        <is>
          <t>グリニッジ カレッジ パース校（ベイズウォーター）</t>
        </is>
      </c>
      <c r="C28" s="14" t="inlineStr">
        <is>
          <t>オーストラリア</t>
        </is>
      </c>
      <c r="D28" s="14" t="inlineStr">
        <is>
          <t>パース</t>
        </is>
      </c>
      <c r="E28" s="14" t="inlineStr">
        <is>
          <t>13 Beechboro Road South, Bayswater WA 6053（Bayswater駅から徒歩2分。Maylandsカフェ街/Bayswater橋から約5分）</t>
        </is>
      </c>
      <c r="F28" s="14" t="inlineStr">
        <is>
          <t>AUD</t>
        </is>
      </c>
      <c r="G28" s="15" t="inlineStr">
        <is>
          <t>要確認(公式サイト非掲載。英語授業料は代理店ポータル(ログイン制)で提供。今回エージェント資料の提供なし)</t>
        </is>
      </c>
      <c r="H28" s="15" t="inlineStr">
        <is>
          <t>要確認(同上)</t>
        </is>
      </c>
      <c r="I28" s="14" t="inlineStr">
        <is>
          <t>240(VET/Hospitalityブローシャーの一律Enrolment Fee・公式明記。英語コースの入学金は公式サイト非掲載=要確認)</t>
        </is>
      </c>
      <c r="J28" s="15" t="inlineStr">
        <is>
          <t>要確認(公式ブローシャーに教材費/Resource feeは「別途・非込み」の記載のみで金額の明記なし)</t>
        </is>
      </c>
      <c r="K28" s="15" t="inlineStr">
        <is>
          <t>要確認(公式にパース校の日本人比率の記載なし。今回エージェント資料の提供なし。※既存Greenwich他校はグループ全体で約10%(非公式)との値)</t>
        </is>
      </c>
      <c r="L28" s="15" t="inlineStr">
        <is>
          <t>要確認(公式に生徒総数の記載なし。2026年時点の新設キャンパス)</t>
        </is>
      </c>
      <c r="M28" s="15" t="inlineStr">
        <is>
          <t>要確認(公式にパース校の国籍構成の記載なし)</t>
        </is>
      </c>
      <c r="N28" s="15" t="inlineStr">
        <is>
          <t>要確認(英語コースの最低年齢は公式非掲載。VETコースは18歳以上(公式ブローシャー)。Junior/Study Group(Global Explorers)は7〜16歳の別枠)</t>
        </is>
      </c>
      <c r="O28" s="15" t="inlineStr">
        <is>
          <t>要確認(公式に平均/最大クラス人数の記載なし)</t>
        </is>
      </c>
      <c r="P28" s="14" t="inlineStr">
        <is>
          <t>一般英語;試験対策</t>
        </is>
      </c>
      <c r="Q28" s="14" t="inlineStr">
        <is>
          <t>【パース校でStudy Planner上開講】General English;IELTS Preparation(Foundation/Advanced)。【全国ブローシャー掲載だがPerth 2026-2027 Study Planner未掲載】Pronunciation in Context;Cambridge PET/FCE/CAE;EAP;English for Business;English for Vocational Studies(EVS)。【VET(同キャンパス提供)】Management/Marketing/IT;Hospitality(SIT40521 Cert IV Kitchen Mgmt等);Health &amp; Care</t>
        </is>
      </c>
      <c r="R28" s="14" t="inlineStr">
        <is>
          <t>毎週入学可</t>
        </is>
      </c>
      <c r="S28" s="14" t="inlineStr">
        <is>
          <t>General English=毎週月曜開講・1〜52週;IELTS Preparation=毎週月曜・1〜16週。Day &amp; Evening制。※パースの夜間クラスは他校と異なり16:30-18:30/18:45-21:00(公式サンプル時間割の注記)。開館Mon-Fri 8:30-21:15(公式)</t>
        </is>
      </c>
      <c r="T28" s="14" t="inlineStr">
        <is>
          <t>General English=Beginner〜Upper Intermediate(公式レベル表);IELTS=Foundation(IELTS5.0相当)/Advanced(IELTS6.0相当)。入学はGreenwich College Placement Test(オンライン/キャンパス)</t>
        </is>
      </c>
      <c r="U28" s="15" t="inlineStr">
        <is>
          <t>要確認(今回の公式資料にパース校の滞在斡旋(ホームステイ/寮)の明記なし。※Greenwichは他校でホームステイ/シェア手配あり(既存行))</t>
        </is>
      </c>
      <c r="V28" s="14" t="inlineStr">
        <is>
          <t>CRICOS 02672K;RTO 91153;English Australia会員;ASQA;AQTF;idp IELTS Approved Preparation Provider;Cambridge English公認試験センター(PET/FCE/CAE/Linguaskill);TOEFL公式試験センター(公式)</t>
        </is>
      </c>
      <c r="W28" s="14" t="inlineStr">
        <is>
          <t>あり(30+のpathway提携で大学/カレッジへ直接進学。AIT/Greenwich Higher Education/Macquarie/Melbourne Polytechnic/Torrens/Kent/Griffith College/ICMS/Le Cordon Bleu/TAFE NSW/Western Sydney/Southern Cross/UoN/Kaplan等。Greenwich Higher Education経由でBachelor(IT/3D Animation/Game Design))</t>
        </is>
      </c>
      <c r="X28" s="14" t="inlineStr">
        <is>
          <t>公式Terms &amp; Conditions v26.2(2026年2月)・Refund Policy掲載。規律/財務不履行による退学・解約時は返金なし(公式Student Handbook)。返金額の詳細は要確認</t>
        </is>
      </c>
      <c r="Y28" s="14" t="inlineStr">
        <is>
          <t>2026年時点のpurpose-built新キャンパス(Bayswater);Bayswater駅徒歩2分;トレーニングキッチン完備;学生ラウンジ/キッチネット;専用学習スペース;無料WiFi;オンサイト/路上駐車;Day&amp;Evening開講;毎週月曜入学;Cambridge/TOEFL試験センター;30+進学パスウェイ;Job Ready就職サポート;無料Friday Electives/Speaking Club/Help Club;母国語禁止(English only);日本語対応Student Servicesスタッフ在籍;ST Star Awards受賞(Best Vocational College 2018/2024・Best English Language School Southern Hemisphere 2019/2020-21);NextEd Group傘下;The PIEoneer Awards 2026ファイナリスト</t>
        </is>
      </c>
      <c r="Z28" s="14" t="inlineStr">
        <is>
          <t>https://www.greenwichcollege.edu.au/campus/perth ; 公式2026 English Course Guide(v5・スクショ) ; 公式Management/Marketing &amp; IT Course Guide(スクショ) ; 公式Hospitality &amp; Kitchen Management Brochure(スクショ) ; 公式Student Handbook(Dec2024・PDF) ; 公式Study Planner 2026-2027 Perth(PDF) ; https://greenwichhighered.edu.au/ ; https://www.greenwichcollege.edu.au/health-and-care-faculty</t>
        </is>
      </c>
      <c r="AA28" s="14" t="inlineStr">
        <is>
          <t>運営 Greenwich College PTY LTD(NextEd Group ASX:NXD傘下)/ABN 31 114 584 940/CRICOS 02672K/RTO 91153。全豪6都市展開(Sydney×2/Melbourne/Brisbane/Gold Coast/Perth/Adelaide)。本行はパース校(Bayswater)で、既存のGreenwich Sydney(13行目)・Gold Coast(24行目)とは別キャンパス。公式(パース校ページ+2026 English/Management/Hospitalityブローシャー+Student Handbook+Perth Study Planner)で住所・連絡先・開館(Mon-Fri 8:30-21:15)・施設(purpose-built新キャンパス/トレーニングキッチン/学生ラウンジ/駐車場/Bayswater駅徒歩2分)・認定(CRICOS/RTO/English Australia/idp IELTS/Cambridge・TOEFL試験センター)・コース体系・レベル・毎週月曜入学・30+進学pathway・受賞歴を取得。重要:パース校の英語コースはPerth 2026-2027 Study PlannerでGeneral EnglishとIELTS Preparationのみ開講予定で、全国ブローシャー掲載のPronunciation/Cambridge/EAP/EVS/English for Businessはパース現行プランナーに未掲載(要確認)。VET(Management/Marketing/IT・Hospitality・Health &amp; Care)は同キャンパスで提供。週授業料・英語コースの入学金・教材費・返金額は公式サイト非掲載(料金は代理店ポータル/ログイン制の価格表)。VET/Hospitalityブローシャーの一律Enrolment Fee $240のみ公式明記。日本人比率・生徒総数・国籍構成・平均クラス人数・年齢層・滞在斡旋は今回の公式資料に記載なし・エージェント資料の提供もなし=要確認。日本語対応Student Servicesスタッフ在籍(公式Student Handbook)。パース夜間クラスは他校と時間帯が異なる。母国語禁止(English only)。Terms &amp; Conditions v26.2(2026年2月)。ユーザー提供のhealth-and-care-faculty URLは今回未取得。</t>
        </is>
      </c>
    </row>
    <row r="29">
      <c r="A29" s="14" t="inlineStr">
        <is>
          <t>Cairns College of English and Business (CCEB)</t>
        </is>
      </c>
      <c r="B29" s="14" t="inlineStr">
        <is>
          <t>ケアンズ・カレッジ・オブ・イングリッシュ アンド ビジネス(CCEB)</t>
        </is>
      </c>
      <c r="C29" s="14" t="inlineStr">
        <is>
          <t>オーストラリア</t>
        </is>
      </c>
      <c r="D29" s="14" t="inlineStr">
        <is>
          <t>ケアンズ</t>
        </is>
      </c>
      <c r="E29" s="14" t="inlineStr">
        <is>
          <t>27 Aplin Street, Cairns QLD 4870（ケアンズCBD。Cairns Esplanade/Lagoonまで徒歩数分）</t>
        </is>
      </c>
      <c r="F29" s="14" t="inlineStr">
        <is>
          <t>AUD</t>
        </is>
      </c>
      <c r="G29" s="14" t="n">
        <v>430</v>
      </c>
      <c r="H29" s="14" t="n">
        <v>460</v>
      </c>
      <c r="I29" s="14" t="inlineStr">
        <is>
          <t>300(ELICOS only)/350(ELICOS+VET)（公式2026 Fees）</t>
        </is>
      </c>
      <c r="J29" s="14" t="inlineStr">
        <is>
          <t>75(2-4週)/150(5-12週)/225(13-23週)/300(24週〜)（公式2026 Fees。Cambridgeは一律150）</t>
        </is>
      </c>
      <c r="K29" s="14" t="inlineStr">
        <is>
          <t>約20%前後(非公式;成功する留学。時期により変動)</t>
        </is>
      </c>
      <c r="L29" s="15" t="inlineStr">
        <is>
          <t>要確認(公式・エージェントとも生徒総数の明記なし)</t>
        </is>
      </c>
      <c r="M29" s="14" t="inlineStr">
        <is>
          <t>日本約20%;南米(ブラジル・コロンビア等)20〜25%;欧州20〜25%;アジア20%;スイス 等(非公式;成功する留学。87カ国受入実績。公式Aboutに国籍構成グラフ画像あり)</t>
        </is>
      </c>
      <c r="N29" s="14" t="inlineStr">
        <is>
          <t>16歳以上(フルタイム)/18歳以上(パートタイム)(公式)。平均年齢は要確認</t>
        </is>
      </c>
      <c r="O29" s="14" t="inlineStr">
        <is>
          <t>平均10〜12/最大16(非公式;成功する留学)</t>
        </is>
      </c>
      <c r="P29" s="14" t="inlineStr">
        <is>
          <t>一般英語;試験対策;進学準備</t>
        </is>
      </c>
      <c r="Q29" s="14" t="inlineStr">
        <is>
          <t>General English(CRICOS 072892G);IELTS Exam Preparation(073937B);Cambridge Exam Preparation FCE(073934E)/CAE(073935D);English for Academic Purposes(EAP;093030B);Job Ready Program;Working Holiday Visa Program;Reef Safari/Tropical Safari Program(英語+ダイビング)。VET併設(Business/Hospitality/Commercial Cookery/Childcare/Aged Care)</t>
        </is>
      </c>
      <c r="R29" s="14" t="inlineStr">
        <is>
          <t>毎週入学可(一般英語/IELTS=毎週月曜)/固定開講日(Cambridge)</t>
        </is>
      </c>
      <c r="S29" s="14" t="inlineStr">
        <is>
          <t>General English/IELTS=毎週月曜開講・フルタイム週20時間+自習/アクティビティ5時間(パートタイム週15時間・学生ビザ不可)。Cambridge=固定開講(2026例:3/16(12週)/6/15(10週)/8/31(12週))。English Only Policy・担任制・週次レビュー/プレゼン</t>
        </is>
      </c>
      <c r="T29" s="14" t="inlineStr">
        <is>
          <t>Elementary〜Advanced(A1〜C1・6レベル)。入学はElementary以上、初日にプレイスメントテスト</t>
        </is>
      </c>
      <c r="U29" s="14" t="inlineStr">
        <is>
          <t>ホームステイ(手配料$300;18歳以上シングル$340/週・ツイン$320/週;18歳未満シングル$480/週・ツイン$420/週;平日2食週末3食;空港送迎込・年末サーチャージ$300);シェアハウス/CCEB Student Residence(Kangarooms Student Living;$320/週・手配料$300・空港送迎片道$150・デポジット$250);MiHaven Student Living(非公式)</t>
        </is>
      </c>
      <c r="V29" s="14" t="inlineStr">
        <is>
          <t>CRICOS 03251A;RTO 40520;NEAS;IALC;English Australia;Study Cairns;Bildungsurlaub(公式);JCU/CQU大学パスウェイ提携</t>
        </is>
      </c>
      <c r="W29" s="14" t="inlineStr">
        <is>
          <t>あり(EAP修了でIELTS免除の大学パスウェイ:James Cook University(JCU)/Central Queensland University(CQU)。VETはCert III〜Diploma〜Advanced Diplomaのパッケージ進学)</t>
        </is>
      </c>
      <c r="X29" s="14" t="inlineStr">
        <is>
          <t>公式2026 Fees/Policies掲載。Cancellation/Withdrawal Fee $350;Course Change Fee $300;Booking Change Fee $300;Late Payment $100等。返金の詳細規定はPolicies &amp; Procedures参照(要確認)</t>
        </is>
      </c>
      <c r="Y29" s="14" t="inlineStr">
        <is>
          <t>2010年設立;ケアンズCBD(世界遺産グレートバリアリーフ/熱帯雨林の玄関口);少人数(平均10-12/最大16);English Only Policy;担任制;週次プレゼン;日本人カウンセラー常駐;Reef Safari Program(英語+PADIダイビング);Working Holiday Visa Program(2週間集中+12ヶ月就職サポート);Job Ready Program;学内Student Café(バリスタ);ケアンズは指定地方都市(卒業生ビザ/PR優遇);語学+VETワンストップ;学内IELTS試験会場;Cookery卒業生の約90%が現地就職(非公式);NEAS/IALC認定</t>
        </is>
      </c>
      <c r="Z29" s="14" t="inlineStr">
        <is>
          <t>https://cceb.qld.edu.au/the-college/ ; https://cceb.qld.edu.au/courses/general-english-course/ ; https://cceb.qld.edu.au/student-services/student-accommodation/ ; 公式2026 Fees(Mar26 release v3・アップロードPDF) ; https://www.studyabroad.co.jp/australia/school/cceb (非公式) ; https://www.world-avenue.co.jp/schoolinfo/schoolinfocairns-CCEB (非公式;ボット拒否で未取得) ; https://schoolwith.me/schools/40025 (非公式;未取得)</t>
        </is>
      </c>
      <c r="AA29" s="14" t="inlineStr">
        <is>
          <t>運営 Cairns College of English Pty Ltd(CCEB)/ABN 87142423612/CRICOS 03251A/RTO 40520。2010年設立の独立系ELICOS+VET校、ケアンズCBD(27 Aplin St)単一キャンパス。料金は公式2026 Fees(Mar26 v3・PDF)で完全取得:一般英語フルタイム授業料$430〜460/週(2-4週$460/5-12週$450/13-23週$440/24週〜$430)、パートタイム$400/週(学生ビザ不可)、ELICOS+VET併願は英語$380/週の特別価格。入学金$300(ELICOS)/$350(ELICOS+VET)、教材費は期間別$75〜300(Cambridge一律$150)。Cambridge FCE/CAEは10週$4,500/12週$5,400(教材$150・受験料$450別途)。IELTSはGEフルタイムと同額。滞在費・各種サービス料も公式Feesに記載。コース・CRICOS番号・レベル(A1〜C1)・毎週月曜開講・16歳以上・大学パスウェイ・認定(NEAS/IALC/English Australia/Study Cairns/Bildungsurlaub)は公式で確定。日本人比率(約20%前後)・国籍構成・平均クラス10-12名/最大16名・設立年は成功する留学(非公式・公式未確認)。生徒総数と平均年齢は要確認。ケアンズは指定地方都市(Designated Regional Area)で卒業生ビザ/PR上の優遇あり。CCEB独自のWorking Holiday Visa Program(2週間集中)・Reef Safari(英語+ダイビング)が特色。world-avenue/schoolwithは今回未取得。</t>
        </is>
      </c>
    </row>
    <row r="30">
      <c r="A30" s="14" t="inlineStr">
        <is>
          <t>OHC English (Oxford House College) Cairns</t>
        </is>
      </c>
      <c r="B30" s="14" t="inlineStr">
        <is>
          <t>OHC ケアンズ(オックスフォード・ハウス・カレッジ ケアンズ校)</t>
        </is>
      </c>
      <c r="C30" s="14" t="inlineStr">
        <is>
          <t>オーストラリア</t>
        </is>
      </c>
      <c r="D30" s="14" t="inlineStr">
        <is>
          <t>ケアンズ</t>
        </is>
      </c>
      <c r="E30" s="14" t="inlineStr">
        <is>
          <t>18 Lake Street, Cairns QLD 4870（ケアンズ中心部。Cairns City Bus Station/バス停Spence St near Grafton Stから徒歩1分。ショッピングセンター隣接・港近く）</t>
        </is>
      </c>
      <c r="F30" s="14" t="inlineStr">
        <is>
          <t>AUD</t>
        </is>
      </c>
      <c r="G30" s="14" t="inlineStr">
        <is>
          <t>330(非公式;ryugaku-au 2024・GE 20時間/週・36週〜)</t>
        </is>
      </c>
      <c r="H30" s="14" t="inlineStr">
        <is>
          <t>380(非公式;ryugaku-au 2024・GE 20時間/週・1-4週)</t>
        </is>
      </c>
      <c r="I30" s="14" t="inlineStr">
        <is>
          <t>250(学生ビザ)/100(観光・WHビザ)(非公式;ryugaku-au 2024)</t>
        </is>
      </c>
      <c r="J30" s="14" t="inlineStr">
        <is>
          <t>100(1-10週)/190(11-20週)/230(21-30週)/270(31週〜)(非公式;ryugaku-au 2024)</t>
        </is>
      </c>
      <c r="K30" s="14" t="inlineStr">
        <is>
          <t>47%(非公式;ryugaku-au 2024年1月時点。かなり高め・時期により変動)</t>
        </is>
      </c>
      <c r="L30" s="14" t="inlineStr">
        <is>
          <t>約80名(非公式;ryugaku-au)。公式2026ブローシャーは70-100名</t>
        </is>
      </c>
      <c r="M30" s="14" t="inlineStr">
        <is>
          <t>スペイン;チェコ;タイ;インド;ブラジル;コロンビア 等(非公式;ryugaku-au)。日本人比率は高め(47%/2024)</t>
        </is>
      </c>
      <c r="N30" s="15" t="inlineStr">
        <is>
          <t>要確認(公式・エージェントに最低/平均年齢の明記なし。OHCは一般に16歳以上・ジュニアは別枠)</t>
        </is>
      </c>
      <c r="O30" s="14" t="inlineStr">
        <is>
          <t>平均12(非公式;ryugaku-au)。10クラス・7レベル(非公式)。公式ブローシャーは教室10。最大クラス人数は要確認</t>
        </is>
      </c>
      <c r="P30" s="14" t="inlineStr">
        <is>
          <t>一般英語</t>
        </is>
      </c>
      <c r="Q30" s="14" t="inlineStr">
        <is>
          <t>General English(CRICOS Course Code 024348G・公式ブローシャー);One-to-One English;Year Round Group Programmes。選択科目:Conversation &amp; Pronunciation/Slang &amp; Idioms/Cultural Studies/English for Job Seekers/Accent Reduction/Academic Writing/Vocabulary Development/Grammar Doctor(非公式;ryugaku-au)。※IELTS/EAP/Cambridgeはケアンズ校では非開講(公式ブローシャーのコース一覧に記載なし)</t>
        </is>
      </c>
      <c r="R30" s="14" t="inlineStr">
        <is>
          <t>毎週入学可(毎週月曜)</t>
        </is>
      </c>
      <c r="S30" s="14" t="inlineStr">
        <is>
          <t>毎週月曜開講。コアクラス20時間/週(選択授業含む)。モーニング開講(非公式;ryugaku-au)。初日にレベルテスト。English Only系(OHC共通)</t>
        </is>
      </c>
      <c r="T30" s="14" t="inlineStr">
        <is>
          <t>Beginner〜Advanced(7レベル;非公式;ryugaku-au)。入学時テスト(ライティング/スピーキング/グラマー/リスニング)</t>
        </is>
      </c>
      <c r="U30" s="14" t="inlineStr">
        <is>
          <t>ホームステイ(手配料$400;シングル2食$350/週・追加$80/日・空港送迎無料;非公式ryugaku-au);シェアハウス/ハウスシェアレジデンス;ホステル(公式ブローシャー=Family/hostel/shared-house residences)</t>
        </is>
      </c>
      <c r="V30" s="14" t="inlineStr">
        <is>
          <t>CRICOS 01647G(運営 Holmes Colleges Queensland Pty Ltd);CRICOS Course Code 024348G(公式ブローシャー);ELICOS。NEAS/English Australia等の加盟は要確認</t>
        </is>
      </c>
      <c r="W30" s="14" t="inlineStr">
        <is>
          <t>あり(併設Holmes College/Holmes Instituteへ試験なしで進学可・学科により学士取得も可)(非公式;ryugaku-au)</t>
        </is>
      </c>
      <c r="X30" s="14" t="inlineStr">
        <is>
          <t>OHC公式Terms &amp; Conditions(PDF;2026年4月版)あり。詳細規定・返金額は要確認</t>
        </is>
      </c>
      <c r="Y30" s="14" t="inlineStr">
        <is>
          <t>ケアンズ中心部(Lake St・ショッピングセンター隣接・港近く);世界遺産グレートバリアリーフ/デインツリー熱帯雨林の玄関口;小規模(約80名・100名以下)でアットホーム;モダン・エアコン完備・ガーデン中庭;専門学校Holmes College併設グループ;豪州5キャンパス転校可(Sydney/Melbourne/Brisbane/Gold Coast/Cairns);日本人スタッフ在籍;アクティビティ豊富(ダイビング/シュノーケリング/BBQ/Job Club/小旅行);Holmes Education Group;日本人比率高め(47%/2024)</t>
        </is>
      </c>
      <c r="Z30" s="14" t="inlineStr">
        <is>
          <t>公式2026ブローシャー https://www.ohcenglish.com/uploads/arquivos/2025/12/1-brochure.pdf ; https://www.ohcenglish.com/school/cairns (現在404) ; https://ryugaku-au.net/school/oxford-house-college-cairns/ (非公式) ; https://schoolwith.me/schools/40023 (非公式;未取得) ; https://www.lastresort.co.jp/language_schools/detail/?schoolCode=0213 (非公式;未取得) ; https://deow.jp/australia/school/ohc-cairns/ (非公式;未取得)</t>
        </is>
      </c>
      <c r="AA30" s="14" t="inlineStr">
        <is>
          <t>運営 Holmes Colleges Queensland Pty Ltd/CRICOS 01647G(OHC=Oxford House College、旧Holmes College)。ケアンズ校(18 Lake St)は既存のOHC Sydney(12行目)・OHC Gold Coast(23行目)とは別キャンパス。公式の個別ケアンズページは現在404のため、公式情報は2026ブローシャー(PDF)から取得:住所・教室10・生徒70-100名・CRICOS 01647G/コード024348G・滞在(Family/hostel/shared-house)・開講コース(General English/One-to-One/Year Round Group)・立地(市中心部・エアコン・ガーデン中庭)。重要:ケアンズ校はGeneral English中心で、IELTS/EAP/Cambridgeは公式ブローシャーのコース一覧に記載なし(Sydney/GCと異なる)。料金・日本人比率・平均クラス・国籍・7レベルはryugaku-au(非公式・2024年;公式未確認):GE授業料$330〜380/週(20時間・期間別;キャンペーンで25%OFFの場合あり)、入学金$250(学生ビザ)/$100(観光WH)、教材費$100〜270、ホームステイ$350/週+手配$400。日本人比率47%(2024/1)はかなり高め・時期変動に注意。生徒総数は公式70-100/ryugaku-au約80。最低・平均年齢は要確認。創立年は出所差(OHC英国系は公式ブローシャー「50年(1974〜)」、ryugaku-auは豪州1994年)。専門学校Holmes College併設・試験なし進学可。schoolwith/lastresort/deowは今回未取得。</t>
        </is>
      </c>
    </row>
    <row r="31">
      <c r="A31" s="14" t="inlineStr">
        <is>
          <t>YouSTUDY International College</t>
        </is>
      </c>
      <c r="B31" s="14" t="inlineStr">
        <is>
          <t>ユースタディー インターナショナル カレッジ</t>
        </is>
      </c>
      <c r="C31" s="14" t="inlineStr">
        <is>
          <t>オーストラリア</t>
        </is>
      </c>
      <c r="D31" s="14" t="inlineStr">
        <is>
          <t>ケアンズ</t>
        </is>
      </c>
      <c r="E31" s="14" t="inlineStr">
        <is>
          <t>2B Second Floor, Orchid Plaza, 58 Lake Street, Cairns QLD 4870（ケアンズ中心部。ケアンズ駅から徒歩約10分・徒歩5分圏内にショッピングセンター）。※旧住所130 Mcleod St(移転前・world-study)</t>
        </is>
      </c>
      <c r="F31" s="14" t="inlineStr">
        <is>
          <t>AUD</t>
        </is>
      </c>
      <c r="G31" s="14" t="inlineStr">
        <is>
          <t>330(非公式;world-study 2019・一般英語/IELTS 24週〜)</t>
        </is>
      </c>
      <c r="H31" s="14" t="inlineStr">
        <is>
          <t>360(非公式;world-study 2019・一般英語/IELTS 2-12週)</t>
        </is>
      </c>
      <c r="I31" s="14" t="inlineStr">
        <is>
          <t>250(非公式;world-study 2019)</t>
        </is>
      </c>
      <c r="J31" s="14" t="inlineStr">
        <is>
          <t>12/週(非公式;world-study 2019)</t>
        </is>
      </c>
      <c r="K31" s="14" t="inlineStr">
        <is>
          <t>25%(非公式;world-study 2019年3月時点。時期により変動)</t>
        </is>
      </c>
      <c r="L31" s="14" t="inlineStr">
        <is>
          <t>平均85名(非公式;world-study。時期による)</t>
        </is>
      </c>
      <c r="M31" s="14" t="inlineStr">
        <is>
          <t>日本25%;ドイツ18%;韓国18%;ブラジル5%;イタリア5%;中国5%;他コロンビア・ベルギー・インド・スイス・フランス・フィリピン・スロバキア(非公式;world-study 2019年3月)</t>
        </is>
      </c>
      <c r="N31" s="14" t="inlineStr">
        <is>
          <t>16歳以上(一般成人)。Intensive Englishは最低13歳(公式)。Young Learnersは10〜15歳(公式)/12-15歳(world-study)</t>
        </is>
      </c>
      <c r="O31" s="14" t="inlineStr">
        <is>
          <t>平均12/最大15(公式Intensive English・world-study一致)</t>
        </is>
      </c>
      <c r="P31" s="14" t="inlineStr">
        <is>
          <t>一般英語;試験対策;進学準備</t>
        </is>
      </c>
      <c r="Q31" s="14" t="inlineStr">
        <is>
          <t>Intensive English(一般英語);Intensive English Part-time(バケーション英語・学生ビザ不可・最大17週);IELTS Preparation;Cambridge Exam Preparation(FCE/CAE);English for Academic Purposes(EAP);English &amp; Diving(英語+PADIダイビング);Young Learners(ジュニア10-15歳);TAFE Pathway/EAP-TAFE Pathway;Employability(Job Ready);Live Online Classes;Study Tours</t>
        </is>
      </c>
      <c r="R31" s="14" t="inlineStr">
        <is>
          <t>毎週入学可(一般/IELTS=毎週月曜、月曜が祝日なら火曜)/固定開講(Cambridge/EAP=10週)</t>
        </is>
      </c>
      <c r="S31" s="14" t="inlineStr">
        <is>
          <t>一般英語/IELTS=毎週月曜開講・週20時間+追加スタディオプション(夜間オンライン/アプリ/自習は無料付帯)。学生ビザは対面20時間必須(観光/WHは対面or夜間オンライン選択可)。Cambridge/EAP=固定開講(各10週)。English &amp; Diving=2週間</t>
        </is>
      </c>
      <c r="T31" s="14" t="inlineStr">
        <is>
          <t>Beginner〜Advanced(夜間オンラインは中級下〜上級)。初日にプレイスメントテスト</t>
        </is>
      </c>
      <c r="U31" s="14" t="inlineStr">
        <is>
          <t>学校寮/学生レジデンス;ホームステイ(手配料$250・空港送迎片道$50必須);ホステル(Mad Monkey Central等);ハウスシェア(非公式;world-study)。公式は「信頼できる地元提携先とホームステイ家庭のみ」</t>
        </is>
      </c>
      <c r="V31" s="14" t="inlineStr">
        <is>
          <t>CRICOS 00080F(運営 You Study Pty Ltd;ABN 83 010 846 821);Pearson PTE/VUE・TOEFL・LANGUAGECERT公式試験センター(Far North QLD);Study Cairnsメンバー;ACPET(旧公式記載)。NEAS/English Australiaの加盟は要確認</t>
        </is>
      </c>
      <c r="W31" s="14" t="inlineStr">
        <is>
          <t>あり(English for Academic Purposes(EAP)・TAFE Pathway/EAP-TAFE Pathwayコースで専門学校(TAFE)等への進学準備)</t>
        </is>
      </c>
      <c r="X31" s="15" t="inlineStr">
        <is>
          <t>要確認(公式Policies/Terms掲載と見られるが返金規定の詳細は今回未取得)</t>
        </is>
      </c>
      <c r="Y31" s="14" t="inlineStr">
        <is>
          <t>ケアンズ最古参の英語学校(約40年;旧International House→Kaplan International Cairnsを経て現在は個人経営);オーナーCarol Doyle;世界遺産グレートバリアリーフ/熱帯雨林の玄関口;少人数(平均12/最大15);English &amp; Diving(英語+PADI);Pearson PTE/TOEFL/LANGUAGECERT公式試験センター;夜間オンラインクラス/YouSTUDYアプリ/自習が無料付帯;日本人スタッフ在籍;カフェ&amp;バー/テラス/スマートボード/PCルーム;ケアンズ駅徒歩10分・自転車通学可</t>
        </is>
      </c>
      <c r="Z31" s="14" t="inlineStr">
        <is>
          <t>https://www.youstudy.edu.au/ ; https://www.youstudy.edu.au/english-courses/intensive-english/ ; https://www.youstudy.edu.au/college/ ; https://www.youstudy.edu.au/ielts/ ; https://www.youstudy.edu.au/live-online-classes-pricing-and-payment-options/ ; https://world-study.com/school/2139/ (非公式) ; https://world-study.com/school/2139/charge/ (非公式;2019年料金) ; https://ryugaku-au.net/school/youstudy-international-college/ (非公式;ボット拒否で未取得) ; https://schoolwith.me/schools/40357 (非公式;未取得)</t>
        </is>
      </c>
      <c r="AA31" s="14" t="inlineStr">
        <is>
          <t>運営 You Study Pty Ltd/CRICOS Provider 00080F/ABN 83 010 846 821。ケアンズ単一キャンパス。公式(トップ/Intensive English/College/IELTS/Live Onlineページ)で確定:CRICOS・住所(現行=Orchid Plaza, 58 Lake St)・連絡先((07)4031 3466)・約40年の歴史(旧International House→Kaplan International Cairns→個人経営;オーナーCarol Doyle)・Intensive English 週20時間/平均12・最大15/最低13歳/毎週月曜・追加スタディオプション無料・Pearson PTE/TOEFL/LANGUAGECERT試験センター・開講コース(Intensive/IELTS/Cambridge/EAP/English &amp; Diving/Young Learners/TAFE Pathway/Employability/Live Online)。英語はNon-AQF Award。料金・日本人比率・生徒数・国籍・滞在はworld-study(非公式)=いずれも2019年の値で古く要更新:一般英語/IELTS $330〜360/週(期間別)、EAP 10週$3,660・Cambridge 10週$3,600(+受験料$330)、バケーション英語$275〜290/週、English &amp; Diving 2週$1,500、ジュニア1週$1,500/2週$2,000、入学金$250・教材$12/週・ホームステイ手配$250・送迎$50・保険$58/月。日本人比率25%・生徒平均85名・国籍は2019年3月時点。住所は現行がOrchid Plaza 58 Lake St(公式・移転後)、world-studyは旧130 Mcleod St。NEAS/English Australia加盟と返金規定の詳細は要確認。ryugaku-au/schoolwithは今回ボット拒否等で未取得。なお公式トップの一部に旧・遠隔教育(RTO 40731)の記述が残るが、ELICOS本体はCRICOS 00080F。</t>
        </is>
      </c>
    </row>
  </sheetData>
  <mergeCells count="2">
    <mergeCell ref="A1:AA1"/>
    <mergeCell ref="A2:AA2"/>
  </mergeCells>
  <dataValidations count="4">
    <dataValidation sqref="F5:F60" showDropDown="0" showInputMessage="0" showErrorMessage="0" allowBlank="1" type="list">
      <formula1>"AUD,USD,CAD,GBP,EUR,NZD,JPY"</formula1>
    </dataValidation>
    <dataValidation sqref="R5:R60" showDropDown="0" showInputMessage="0" showErrorMessage="0" allowBlank="1" type="list">
      <formula1>"毎週入学可,固定開講日,毎週入学可+固定開講,要確認"</formula1>
    </dataValidation>
    <dataValidation sqref="W5:W60" showDropDown="0" showInputMessage="0" showErrorMessage="0" allowBlank="1" type="list">
      <formula1>"あり,なし,要確認"</formula1>
    </dataValidation>
    <dataValidation sqref="C5:C60" showDropDown="0" showInputMessage="0" showErrorMessage="0" allowBlank="1" type="list">
      <formula1>"オーストラリア,カナダ,アメリカ,イギリス,アイルランド,ニュージーランド,マルタ,フィリピン"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</cols>
  <sheetData>
    <row r="1">
      <c r="A1" s="7" t="inlineStr">
        <is>
          <t>入力ガイド / 列の定義</t>
        </is>
      </c>
    </row>
    <row r="2" ht="22" customHeight="1">
      <c r="A2" s="3" t="inlineStr">
        <is>
          <t>列</t>
        </is>
      </c>
      <c r="B2" s="3" t="inlineStr">
        <is>
          <t>定義・記入ルール</t>
        </is>
      </c>
      <c r="C2" s="3" t="inlineStr">
        <is>
          <t>入力例 / 選択肢</t>
        </is>
      </c>
    </row>
    <row r="3" ht="34" customHeight="1">
      <c r="A3" s="8" t="inlineStr">
        <is>
          <t>学校名(英語)</t>
        </is>
      </c>
      <c r="B3" s="6" t="inlineStr">
        <is>
          <t>公式表記の英語正式名称。</t>
        </is>
      </c>
      <c r="C3" s="9" t="inlineStr">
        <is>
          <t>ILSC Language Schools Sydney</t>
        </is>
      </c>
    </row>
    <row r="4" ht="34" customHeight="1">
      <c r="A4" s="8" t="inlineStr">
        <is>
          <t>学校名(日本語)</t>
        </is>
      </c>
      <c r="B4" s="6" t="inlineStr">
        <is>
          <t>日本語表記。公式になければ要確認。</t>
        </is>
      </c>
      <c r="C4" s="9" t="inlineStr">
        <is>
          <t>ILSC シドニー校</t>
        </is>
      </c>
    </row>
    <row r="5" ht="34" customHeight="1">
      <c r="A5" s="8" t="inlineStr">
        <is>
          <t>国 / 都市</t>
        </is>
      </c>
      <c r="B5" s="6" t="inlineStr">
        <is>
          <t>所在国・都市。複数都市展開時は代表都市を記入し備考へ補足。</t>
        </is>
      </c>
      <c r="C5" s="9" t="inlineStr">
        <is>
          <t>オーストラリア / シドニー</t>
        </is>
      </c>
    </row>
    <row r="6" ht="34" customHeight="1">
      <c r="A6" s="8" t="inlineStr">
        <is>
          <t>住所</t>
        </is>
      </c>
      <c r="B6" s="6" t="inlineStr">
        <is>
          <t>キャンパスの正式住所。移転に注意(旧住所を載せない)。</t>
        </is>
      </c>
      <c r="C6" s="9" t="inlineStr">
        <is>
          <t>Level 6 &amp; 7, 540 George St...</t>
        </is>
      </c>
    </row>
    <row r="7" ht="34" customHeight="1">
      <c r="A7" s="8" t="inlineStr">
        <is>
          <t>通貨</t>
        </is>
      </c>
      <c r="B7" s="6" t="inlineStr">
        <is>
          <t>G〜J等の金額の通貨。ドロップダウン。</t>
        </is>
      </c>
      <c r="C7" s="9" t="inlineStr">
        <is>
          <t>AUD / USD / CAD...</t>
        </is>
      </c>
    </row>
    <row r="8" ht="34" customHeight="1">
      <c r="A8" s="8" t="inlineStr">
        <is>
          <t>週授業料・最低/最高</t>
        </is>
      </c>
      <c r="B8" s="6" t="inlineStr">
        <is>
          <t>公式の週あたり授業料の下限・上限。時間帯やコースで幅がある場合は最小・最大を採用し備考へ。</t>
        </is>
      </c>
      <c r="C8" s="9" t="inlineStr">
        <is>
          <t>380 / 460</t>
        </is>
      </c>
    </row>
    <row r="9" ht="34" customHeight="1">
      <c r="A9" s="8" t="inlineStr">
        <is>
          <t>入学金 / 教材費</t>
        </is>
      </c>
      <c r="B9" s="6" t="inlineStr">
        <is>
          <t>登録料・教材費。段階制はそのまま記述。</t>
        </is>
      </c>
      <c r="C9" s="9" t="inlineStr">
        <is>
          <t>250 ; 60(1-4週)/15週〜</t>
        </is>
      </c>
    </row>
    <row r="10" ht="34" customHeight="1">
      <c r="A10" s="8" t="inlineStr">
        <is>
          <t>日本人比率</t>
        </is>
      </c>
      <c r="B10" s="6" t="inlineStr">
        <is>
          <t>公式優先。無ければエージェント値に(非公式)と明記し時点も。</t>
        </is>
      </c>
      <c r="C10" s="9" t="inlineStr">
        <is>
          <t>約14〜15%(非公式)</t>
        </is>
      </c>
    </row>
    <row r="11" ht="34" customHeight="1">
      <c r="A11" s="8" t="inlineStr">
        <is>
          <t>生徒総数</t>
        </is>
      </c>
      <c r="B11" s="6" t="inlineStr">
        <is>
          <t>定員か在籍か定義を必ず添える。ソース間で差が出やすい。</t>
        </is>
      </c>
      <c r="C11" s="9" t="inlineStr">
        <is>
          <t>定員576／月平均945-1000</t>
        </is>
      </c>
    </row>
    <row r="12" ht="34" customHeight="1">
      <c r="A12" s="8" t="inlineStr">
        <is>
          <t>国籍多様性</t>
        </is>
      </c>
      <c r="B12" s="6" t="inlineStr">
        <is>
          <t>上位国籍と比率。; 区切り。</t>
        </is>
      </c>
      <c r="C12" s="9" t="inlineStr">
        <is>
          <t>ブラジル;韓国;コロンビア;日本</t>
        </is>
      </c>
    </row>
    <row r="13" ht="34" customHeight="1">
      <c r="A13" s="8" t="inlineStr">
        <is>
          <t>年齢層</t>
        </is>
      </c>
      <c r="B13" s="6" t="inlineStr">
        <is>
          <t>最低年齢や平均年齢。</t>
        </is>
      </c>
      <c r="C13" s="9" t="inlineStr">
        <is>
          <t>16歳以上/平均23歳</t>
        </is>
      </c>
    </row>
    <row r="14" ht="34" customHeight="1">
      <c r="A14" s="8" t="inlineStr">
        <is>
          <t>クラス人数</t>
        </is>
      </c>
      <c r="B14" s="6" t="inlineStr">
        <is>
          <t>平均/最大。</t>
        </is>
      </c>
      <c r="C14" s="9" t="inlineStr">
        <is>
          <t>平均14／最大18</t>
        </is>
      </c>
    </row>
    <row r="15" ht="34" customHeight="1">
      <c r="A15" s="8" t="inlineStr">
        <is>
          <t>コース種別タグ</t>
        </is>
      </c>
      <c r="B15" s="6" t="inlineStr">
        <is>
          <t>一般英語/試験対策/ビジネス/進学準備 から該当を; 区切り。</t>
        </is>
      </c>
      <c r="C15" s="9" t="inlineStr">
        <is>
          <t>一般英語;試験対策</t>
        </is>
      </c>
    </row>
    <row r="16" ht="34" customHeight="1">
      <c r="A16" s="8" t="inlineStr">
        <is>
          <t>コース名</t>
        </is>
      </c>
      <c r="B16" s="6" t="inlineStr">
        <is>
          <t>開講コースの固有名。; 区切り。</t>
        </is>
      </c>
      <c r="C16" s="9" t="inlineStr">
        <is>
          <t>General English;IELTS Mastery</t>
        </is>
      </c>
    </row>
    <row r="17" ht="34" customHeight="1">
      <c r="A17" s="8" t="inlineStr">
        <is>
          <t>入学時期タイプ</t>
        </is>
      </c>
      <c r="B17" s="6" t="inlineStr">
        <is>
          <t>毎週入学可/固定開講日 等。ドロップダウン。</t>
        </is>
      </c>
      <c r="C17" s="9" t="inlineStr">
        <is>
          <t>毎週入学可</t>
        </is>
      </c>
    </row>
    <row r="18" ht="34" customHeight="1">
      <c r="A18" s="8" t="inlineStr">
        <is>
          <t>開講日・条件</t>
        </is>
      </c>
      <c r="B18" s="6" t="inlineStr">
        <is>
          <t>具体的な開講日・時間帯・週時間数など。</t>
        </is>
      </c>
      <c r="C18" s="9" t="inlineStr">
        <is>
          <t>毎週月曜;週20時間</t>
        </is>
      </c>
    </row>
    <row r="19" ht="34" customHeight="1">
      <c r="A19" s="8" t="inlineStr">
        <is>
          <t>対応レベル</t>
        </is>
      </c>
      <c r="B19" s="6" t="inlineStr">
        <is>
          <t>入学基準やレベル数。</t>
        </is>
      </c>
      <c r="C19" s="9" t="inlineStr">
        <is>
          <t>初級〜上級/10段階</t>
        </is>
      </c>
    </row>
    <row r="20" ht="34" customHeight="1">
      <c r="A20" s="8" t="inlineStr">
        <is>
          <t>滞在オプション</t>
        </is>
      </c>
      <c r="B20" s="6" t="inlineStr">
        <is>
          <t>寮/ホームステイ/手配なし 等を; 区切り。費用は分かれば付記。</t>
        </is>
      </c>
      <c r="C20" s="9" t="inlineStr">
        <is>
          <t>ホームステイ;学生寮</t>
        </is>
      </c>
    </row>
    <row r="21" ht="34" customHeight="1">
      <c r="A21" s="8" t="inlineStr">
        <is>
          <t>認定</t>
        </is>
      </c>
      <c r="B21" s="6" t="inlineStr">
        <is>
          <t>CRICOS番号やNEAS/English Australia等。</t>
        </is>
      </c>
      <c r="C21" s="9" t="inlineStr">
        <is>
          <t>CRICOS 02137M;NEAS</t>
        </is>
      </c>
    </row>
    <row r="22" ht="34" customHeight="1">
      <c r="A22" s="8" t="inlineStr">
        <is>
          <t>進学パスウェイ有無</t>
        </is>
      </c>
      <c r="B22" s="6" t="inlineStr">
        <is>
          <t>あり/なし/要確認。内容は括弧で補足。</t>
        </is>
      </c>
      <c r="C22" s="9" t="inlineStr">
        <is>
          <t>あり(160校提携)</t>
        </is>
      </c>
    </row>
    <row r="23" ht="34" customHeight="1">
      <c r="A23" s="8" t="inlineStr">
        <is>
          <t>返金規定</t>
        </is>
      </c>
      <c r="B23" s="6" t="inlineStr">
        <is>
          <t>公式の返金規定。詳細不明は要確認。</t>
        </is>
      </c>
      <c r="C23" s="9" t="inlineStr">
        <is>
          <t>登録料は返金不可</t>
        </is>
      </c>
    </row>
    <row r="24" ht="34" customHeight="1">
      <c r="A24" s="8" t="inlineStr">
        <is>
          <t>特徴タグ</t>
        </is>
      </c>
      <c r="B24" s="6" t="inlineStr">
        <is>
          <t>訴求ポイントを; 区切りで簡潔に。</t>
        </is>
      </c>
      <c r="C24" s="9" t="inlineStr">
        <is>
          <t>CBD立地;無料Job Club</t>
        </is>
      </c>
    </row>
    <row r="25" ht="34" customHeight="1">
      <c r="A25" s="8" t="inlineStr">
        <is>
          <t>出所URL</t>
        </is>
      </c>
      <c r="B25" s="6" t="inlineStr">
        <is>
          <t>根拠にした公式ページのURL。複数は; 区切り。</t>
        </is>
      </c>
      <c r="C25" s="9" t="inlineStr">
        <is>
          <t>https://...</t>
        </is>
      </c>
    </row>
    <row r="26" ht="34" customHeight="1">
      <c r="A26" s="8" t="inlineStr">
        <is>
          <t>備考</t>
        </is>
      </c>
      <c r="B26" s="6" t="inlineStr">
        <is>
          <t>定義差・時点・非公式情報の注記・運営法人など。</t>
        </is>
      </c>
      <c r="C26" s="9" t="inlineStr">
        <is>
          <t>運営法人;通貨;時点 等</t>
        </is>
      </c>
    </row>
    <row r="28">
      <c r="A28" s="10" t="inlineStr">
        <is>
          <t>共通ルール</t>
        </is>
      </c>
    </row>
    <row r="29">
      <c r="A29" t="inlineStr">
        <is>
          <t>・</t>
        </is>
      </c>
      <c r="B29" s="11" t="inlineStr">
        <is>
          <t>公式サイトに書かれていることだけを記入。未記載は推測せず「要確認」と記す。</t>
        </is>
      </c>
    </row>
    <row r="30">
      <c r="A30" t="inlineStr">
        <is>
          <t>・</t>
        </is>
      </c>
      <c r="B30" s="11" t="inlineStr">
        <is>
          <t>学費・比率などの数字を記憶や一般論から創作しない。</t>
        </is>
      </c>
    </row>
    <row r="31">
      <c r="A31" t="inlineStr">
        <is>
          <t>・</t>
        </is>
      </c>
      <c r="B31" s="11" t="inlineStr">
        <is>
          <t>複数値の項目は半角セミコロン ; で区切る。</t>
        </is>
      </c>
    </row>
    <row r="32">
      <c r="A32" t="inlineStr">
        <is>
          <t>・</t>
        </is>
      </c>
      <c r="B32" s="11" t="inlineStr">
        <is>
          <t>エージェント等の非公式情報は末尾に(非公式)＋可能なら時点を明記し、公式値と区別する。</t>
        </is>
      </c>
    </row>
    <row r="33">
      <c r="A33" t="inlineStr">
        <is>
          <t>・</t>
        </is>
      </c>
      <c r="B33" s="11" t="inlineStr">
        <is>
          <t>place_id・評価点・口コミ件数・写真は取得しない(別システムで扱う)。</t>
        </is>
      </c>
    </row>
    <row r="34">
      <c r="A34" t="inlineStr">
        <is>
          <t>・</t>
        </is>
      </c>
      <c r="B34" s="11" t="inlineStr">
        <is>
          <t>各行の根拠URLを「出所URL」に残す。移転等で旧情報を載せないよう注意。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2026-07-28T13:40:07Z</dcterms:created>
  <dcterms:modified xmlns:dcterms="http://purl.org/dc/terms/" xmlns:xsi="http://www.w3.org/2001/XMLSchema-instance" xsi:type="dcterms:W3CDTF">2026-08-04T05:49:00Z</dcterms:modified>
</cp:coreProperties>
</file>